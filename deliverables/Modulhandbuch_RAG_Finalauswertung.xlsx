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9c0844aa3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ec8eb983ab483b"/>
    <x:sheet xmlns:r="http://schemas.openxmlformats.org/officeDocument/2006/relationships" name="Ergebnisse" sheetId="2" r:id="Ra1ae3ca3bc3742bb"/>
    <x:sheet xmlns:r="http://schemas.openxmlformats.org/officeDocument/2006/relationships" name="Fehleranalyse" sheetId="3" r:id="R0af761df0ecd451f"/>
    <x:sheet xmlns:r="http://schemas.openxmlformats.org/officeDocument/2006/relationships" name="Korpus" sheetId="4" r:id="R4957dbd16f3543e3"/>
    <x:sheet xmlns:r="http://schemas.openxmlformats.org/officeDocument/2006/relationships" name="Antwortpilot" sheetId="5" r:id="R1fb3cc22cd5543fd"/>
    <x:sheet xmlns:r="http://schemas.openxmlformats.org/officeDocument/2006/relationships" name="Methodik" sheetId="6" r:id="Rbe640dffbcff4452"/>
    <x:sheet xmlns:r="http://schemas.openxmlformats.org/officeDocument/2006/relationships" name="Reproduktion" sheetId="7" r:id="R514038d2a1f54680"/>
    <x:sheet xmlns:r="http://schemas.openxmlformats.org/officeDocument/2006/relationships" name="Retrieval_Rohdaten" sheetId="8" r:id="R40d66125e0314bce"/>
    <x:sheet xmlns:r="http://schemas.openxmlformats.org/officeDocument/2006/relationships" name="PerQuery_Rohdaten" sheetId="9" r:id="R56f73b25cef24d3b"/>
    <x:sheet xmlns:r="http://schemas.openxmlformats.org/officeDocument/2006/relationships" name="Integritaet_Rohdaten" sheetId="10" r:id="R981e53dc6403415c"/>
    <x:sheet xmlns:r="http://schemas.openxmlformats.org/officeDocument/2006/relationships" name="Pilot_Rohdaten" sheetId="11" r:id="R6929bb429914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;-0.000;;"/>
    <x:numFmt numFmtId="201" formatCode="0"/>
    <x:numFmt numFmtId="202" formatCode="#,##0"/>
    <x:numFmt numFmtId="203" formatCode="0.0%"/>
  </x:numFmts>
  <x:fonts count="15">
    <x:font>
      <x:sz val="11"/>
      <x:name val="Carlito"/>
    </x:font>
    <x:font>
      <x:b/>
      <x:sz val="11"/>
      <x:color rgb="FFFFFFFF"/>
      <x:name val="Carlito"/>
    </x:font>
    <x:font>
      <x:sz val="10"/>
      <x:color rgb="FF181B21"/>
      <x:name val="Carlito"/>
    </x:font>
    <x:font>
      <x:b/>
      <x:sz val="20"/>
      <x:color rgb="FFFFFFFF"/>
      <x:name val="Carlito"/>
    </x:font>
    <x:font>
      <x:sz val="10"/>
      <x:color rgb="FFD8DEE7"/>
      <x:name val="Carlito"/>
    </x:font>
    <x:font>
      <x:b/>
      <x:sz val="10"/>
      <x:color rgb="FF69727D"/>
      <x:name val="Carlito"/>
    </x:font>
    <x:font>
      <x:b/>
      <x:sz val="24"/>
      <x:color rgb="FF3565F2"/>
      <x:name val="Carlito"/>
    </x:font>
    <x:font>
      <x:sz val="9"/>
      <x:color rgb="FF69727D"/>
      <x:name val="Carlito"/>
    </x:font>
    <x:font>
      <x:b/>
      <x:sz val="24"/>
      <x:color rgb="FF0E8F68"/>
      <x:name val="Carlito"/>
    </x:font>
    <x:font>
      <x:b/>
      <x:sz val="24"/>
      <x:color rgb="FFB88200"/>
      <x:name val="Carlito"/>
    </x:font>
    <x:font>
      <x:b/>
      <x:sz val="24"/>
      <x:color rgb="FFD95C53"/>
      <x:name val="Carlito"/>
    </x:font>
    <x:font>
      <x:b/>
      <x:sz val="12"/>
      <x:color rgb="FF181B21"/>
      <x:name val="Carlito"/>
    </x:font>
    <x:font>
      <x:sz val="10"/>
      <x:color rgb="FF69727D"/>
      <x:name val="Carlito"/>
    </x:font>
    <x:font>
      <x:b/>
      <x:sz val="10"/>
      <x:color rgb="FFB88200"/>
      <x:name val="Carlito"/>
    </x:font>
    <x:font>
      <x:sz val="11"/>
      <x:color rgb="FFFFFFFF"/>
      <x:name val="Consolas"/>
    </x:font>
  </x:fonts>
  <x:fills count="11">
    <x:fill>
      <x:patternFill patternType="none"/>
    </x:fill>
    <x:fill>
      <x:patternFill patternType="gray125"/>
    </x:fill>
    <x:fill>
      <x:patternFill patternType="solid">
        <x:fgColor rgb="FF181B21"/>
      </x:patternFill>
    </x:fill>
    <x:fill>
      <x:patternFill patternType="solid">
        <x:fgColor rgb="FFF4F6F5"/>
      </x:patternFill>
    </x:fill>
    <x:fill>
      <x:patternFill patternType="solid">
        <x:fgColor rgb="FF3565F2"/>
      </x:patternFill>
    </x:fill>
    <x:fill>
      <x:patternFill patternType="solid">
        <x:fgColor rgb="FF0E8F68"/>
      </x:patternFill>
    </x:fill>
    <x:fill>
      <x:patternFill patternType="solid">
        <x:fgColor rgb="FFFFF2C7"/>
      </x:patternFill>
    </x:fill>
    <x:fill>
      <x:patternFill patternType="solid">
        <x:fgColor rgb="FFD95C53"/>
      </x:patternFill>
    </x:fill>
    <x:fill>
      <x:patternFill patternType="solid">
        <x:fgColor rgb="FFB88200"/>
      </x:patternFill>
    </x:fill>
    <x:fill>
      <x:patternFill patternType="solid">
        <x:fgColor rgb="FFE8EEFF"/>
      </x:patternFill>
    </x:fill>
    <x:fill>
      <x:patternFill patternType="solid">
        <x:fgColor rgb="FFDDF5ED"/>
      </x:patternFill>
    </x:fill>
  </x:fills>
  <x:borders count="33">
    <x:border/>
    <x:border>
      <x:left style="thin">
        <x:color rgb="FFD8DEDC"/>
      </x:left>
      <x:right style="thin">
        <x:color rgb="FFD8DEDC"/>
      </x:right>
      <x:top style="thin">
        <x:color rgb="FFD8DEDC"/>
      </x:top>
      <x:bottom style="thin">
        <x:color rgb="FFD8DEDC"/>
      </x:bottom>
    </x:border>
    <x:border>
      <x:left style="thin">
        <x:color rgb="FFD8DEDC"/>
      </x:left>
      <x:top style="thin">
        <x:color rgb="FFD8DEDC"/>
      </x:top>
    </x:border>
    <x:border>
      <x:top style="thin">
        <x:color rgb="FFD8DEDC"/>
      </x:top>
    </x:border>
    <x:border>
      <x:right style="thin">
        <x:color rgb="FFD8DEDC"/>
      </x:right>
      <x:top style="thin">
        <x:color rgb="FFD8DEDC"/>
      </x:top>
    </x:border>
    <x:border>
      <x:left style="thin">
        <x:color rgb="FFD8DEDC"/>
      </x:left>
    </x:border>
    <x:border>
      <x:right style="thin">
        <x:color rgb="FFD8DEDC"/>
      </x:right>
    </x:border>
    <x:border>
      <x:left style="thin">
        <x:color rgb="FFD8DEDC"/>
      </x:left>
      <x:bottom style="thin">
        <x:color rgb="FFD8DEDC"/>
      </x:bottom>
    </x:border>
    <x:border>
      <x:bottom style="thin">
        <x:color rgb="FFD8DEDC"/>
      </x:bottom>
    </x:border>
    <x:border>
      <x:right style="thin">
        <x:color rgb="FFD8DEDC"/>
      </x:right>
      <x:bottom style="thin">
        <x:color rgb="FFD8DEDC"/>
      </x:bottom>
    </x:border>
    <x:border>
      <x:left style="thin">
        <x:color rgb="FFB88200"/>
      </x:left>
      <x:top style="thin">
        <x:color rgb="FFB88200"/>
      </x:top>
    </x:border>
    <x:border>
      <x:top style="thin">
        <x:color rgb="FFB88200"/>
      </x:top>
    </x:border>
    <x:border>
      <x:right style="thin">
        <x:color rgb="FFB88200"/>
      </x:right>
      <x:top style="thin">
        <x:color rgb="FFB88200"/>
      </x:top>
    </x:border>
    <x:border>
      <x:left style="thin">
        <x:color rgb="FFB88200"/>
      </x:left>
      <x:bottom style="thin">
        <x:color rgb="FFB88200"/>
      </x:bottom>
    </x:border>
    <x:border>
      <x:bottom style="thin">
        <x:color rgb="FFB88200"/>
      </x:bottom>
    </x:border>
    <x:border>
      <x:right style="thin">
        <x:color rgb="FFB88200"/>
      </x:right>
      <x:bottom style="thin">
        <x:color rgb="FFB88200"/>
      </x:bottom>
    </x:border>
    <x:border>
      <x:left style="thin">
        <x:color rgb="FFD8DEDC"/>
      </x:left>
      <x:top style="thin">
        <x:color rgb="FFD8DEDC"/>
      </x:top>
      <x:bottom style="thin">
        <x:color rgb="FFD8DEDC"/>
      </x:bottom>
    </x:border>
    <x:border>
      <x:top style="thin">
        <x:color rgb="FFD8DEDC"/>
      </x:top>
      <x:bottom style="thin">
        <x:color rgb="FFD8DEDC"/>
      </x:bottom>
    </x:border>
    <x:border>
      <x:right style="thin">
        <x:color rgb="FFD8DEDC"/>
      </x:right>
      <x:top style="thin">
        <x:color rgb="FFD8DEDC"/>
      </x:top>
      <x:bottom style="thin">
        <x:color rgb="FFD8DEDC"/>
      </x:bottom>
    </x:border>
    <x:border>
      <x:left style="thin">
        <x:color rgb="FF3565F2"/>
      </x:left>
      <x:top style="thin">
        <x:color rgb="FF3565F2"/>
      </x:top>
    </x:border>
    <x:border>
      <x:top style="thin">
        <x:color rgb="FF3565F2"/>
      </x:top>
    </x:border>
    <x:border>
      <x:right style="thin">
        <x:color rgb="FF3565F2"/>
      </x:right>
      <x:top style="thin">
        <x:color rgb="FF3565F2"/>
      </x:top>
    </x:border>
    <x:border>
      <x:left style="thin">
        <x:color rgb="FF3565F2"/>
      </x:left>
    </x:border>
    <x:border>
      <x:right style="thin">
        <x:color rgb="FF3565F2"/>
      </x:right>
    </x:border>
    <x:border>
      <x:left style="thin">
        <x:color rgb="FF3565F2"/>
      </x:left>
      <x:bottom style="thin">
        <x:color rgb="FF3565F2"/>
      </x:bottom>
    </x:border>
    <x:border>
      <x:bottom style="thin">
        <x:color rgb="FF3565F2"/>
      </x:bottom>
    </x:border>
    <x:border>
      <x:right style="thin">
        <x:color rgb="FF3565F2"/>
      </x:right>
      <x:bottom style="thin">
        <x:color rgb="FF3565F2"/>
      </x:bottom>
    </x:border>
    <x:border>
      <x:left style="thin">
        <x:color rgb="FF181B21"/>
      </x:left>
      <x:top style="thin">
        <x:color rgb="FF181B21"/>
      </x:top>
    </x:border>
    <x:border>
      <x:top style="thin">
        <x:color rgb="FF181B21"/>
      </x:top>
    </x:border>
    <x:border>
      <x:right style="thin">
        <x:color rgb="FF181B21"/>
      </x:right>
      <x:top style="thin">
        <x:color rgb="FF181B21"/>
      </x:top>
    </x:border>
    <x:border>
      <x:left style="thin">
        <x:color rgb="FF181B21"/>
      </x:left>
      <x:bottom style="thin">
        <x:color rgb="FF181B21"/>
      </x:bottom>
    </x:border>
    <x:border>
      <x:bottom style="thin">
        <x:color rgb="FF181B21"/>
      </x:bottom>
    </x:border>
    <x:border>
      <x:right style="thin">
        <x:color rgb="FF181B21"/>
      </x:right>
      <x:bottom style="thin">
        <x:color rgb="FF181B21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6" fillId="3" borderId="5" xfId="0" applyNumberFormat="1" applyFont="1" applyFill="1" applyBorder="1"/>
    <x:xf numFmtId="200" fontId="6" fillId="3" borderId="5" xfId="0" applyNumberFormat="1" applyFont="1" applyFill="1" applyBorder="1"/>
    <x:xf numFmtId="200" fontId="6" fillId="3" borderId="5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8" fillId="3" borderId="5" xfId="0" applyNumberFormat="1" applyFont="1" applyFill="1" applyBorder="1"/>
    <x:xf numFmtId="200" fontId="8" fillId="3" borderId="5" xfId="0" applyNumberFormat="1" applyFont="1" applyFill="1" applyBorder="1"/>
    <x:xf numFmtId="200" fontId="8" fillId="3" borderId="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/>
    <x:xf numFmtId="200" fontId="9" fillId="3" borderId="5" xfId="0" applyNumberFormat="1" applyFont="1" applyFill="1" applyBorder="1"/>
    <x:xf numFmtId="200" fontId="9" fillId="3" borderId="5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/>
    <x:xf numFmtId="200" fontId="10" fillId="3" borderId="5" xfId="0" applyNumberFormat="1" applyFont="1" applyFill="1" applyBorder="1"/>
    <x:xf numFmtId="200" fontId="10" fillId="3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16" xfId="0" applyNumberFormat="1" applyFont="1" applyFill="1" applyBorder="1"/>
    <x:xf numFmtId="0" fontId="11" fillId="3" borderId="17" xfId="0" applyNumberFormat="1" applyFont="1" applyFill="1" applyBorder="1"/>
    <x:xf numFmtId="0" fontId="11" fillId="3" borderId="18" xfId="0" applyNumberFormat="1" applyFont="1" applyFill="1" applyBorder="1"/>
    <x:xf numFmtId="0" fontId="11" fillId="3" borderId="16" xfId="0" applyNumberFormat="1" applyFont="1" applyFill="1" applyBorder="1" applyAlignment="1">
      <x:alignment vertical="center"/>
    </x:xf>
    <x:xf numFmtId="0" fontId="11" fillId="3" borderId="17" xfId="0" applyNumberFormat="1" applyFont="1" applyFill="1" applyBorder="1" applyAlignment="1">
      <x:alignment vertical="center"/>
    </x:xf>
    <x:xf numFmtId="0" fontId="11" fillId="3" borderId="1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201" fontId="6" fillId="3" borderId="5" xfId="0" applyNumberFormat="1" applyFont="1" applyFill="1" applyBorder="1"/>
    <x:xf numFmtId="201" fontId="6" fillId="3" borderId="5" xfId="0" applyNumberFormat="1" applyFont="1" applyFill="1" applyBorder="1" applyAlignment="1">
      <x:alignment vertical="center"/>
    </x:xf>
    <x:xf numFmtId="202" fontId="8" fillId="3" borderId="5" xfId="0" applyNumberFormat="1" applyFont="1" applyFill="1" applyBorder="1"/>
    <x:xf numFmtId="202" fontId="8" fillId="3" borderId="5" xfId="0" applyNumberFormat="1" applyFont="1" applyFill="1" applyBorder="1" applyAlignment="1">
      <x:alignment vertical="center"/>
    </x:xf>
    <x:xf numFmtId="202" fontId="9" fillId="3" borderId="5" xfId="0" applyNumberFormat="1" applyFont="1" applyFill="1" applyBorder="1"/>
    <x:xf numFmtId="202" fontId="9" fillId="3" borderId="5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2" xfId="0" applyNumberFormat="1" applyFont="1" applyFill="1" applyBorder="1"/>
    <x:xf numFmtId="0" fontId="12" fillId="3" borderId="3" xfId="0" applyNumberFormat="1" applyFont="1" applyFill="1" applyBorder="1"/>
    <x:xf numFmtId="0" fontId="12" fillId="3" borderId="4" xfId="0" applyNumberFormat="1" applyFont="1" applyFill="1" applyBorder="1"/>
    <x:xf numFmtId="0" fontId="12" fillId="3" borderId="5" xfId="0" applyNumberFormat="1" applyFont="1" applyFill="1" applyBorder="1"/>
    <x:xf numFmtId="0" fontId="12" fillId="3" borderId="6" xfId="0" applyNumberFormat="1" applyFont="1" applyFill="1" applyBorder="1"/>
    <x:xf numFmtId="0" fontId="12" fillId="3" borderId="7" xfId="0" applyNumberFormat="1" applyFont="1" applyFill="1" applyBorder="1"/>
    <x:xf numFmtId="0" fontId="12" fillId="3" borderId="8" xfId="0" applyNumberFormat="1" applyFont="1" applyFill="1" applyBorder="1"/>
    <x:xf numFmtId="0" fontId="12" fillId="3" borderId="9" xfId="0" applyNumberFormat="1" applyFont="1" applyFill="1" applyBorder="1"/>
    <x:xf numFmtId="0" fontId="12" fillId="3" borderId="2" xfId="0" applyNumberFormat="1" applyFont="1" applyFill="1" applyBorder="1" applyAlignment="1">
      <x:alignment wrapText="1"/>
    </x:xf>
    <x:xf numFmtId="0" fontId="12" fillId="3" borderId="3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wrapText="1"/>
    </x:xf>
    <x:xf numFmtId="0" fontId="12" fillId="3" borderId="5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6" xfId="0" applyNumberFormat="1" applyFont="1" applyFill="1" applyBorder="1" applyAlignment="1">
      <x:alignment wrapText="1"/>
    </x:xf>
    <x:xf numFmtId="0" fontId="12" fillId="3" borderId="7" xfId="0" applyNumberFormat="1" applyFont="1" applyFill="1" applyBorder="1" applyAlignment="1">
      <x:alignment wrapText="1"/>
    </x:xf>
    <x:xf numFmtId="0" fontId="12" fillId="3" borderId="8" xfId="0" applyNumberFormat="1" applyFont="1" applyFill="1" applyBorder="1" applyAlignment="1">
      <x:alignment wrapText="1"/>
    </x:xf>
    <x:xf numFmtId="0" fontId="12" fillId="3" borderId="9" xfId="0" applyNumberFormat="1" applyFont="1" applyFill="1" applyBorder="1" applyAlignment="1">
      <x:alignment wrapText="1"/>
    </x:xf>
    <x:xf numFmtId="201" fontId="8" fillId="3" borderId="5" xfId="0" applyNumberFormat="1" applyFont="1" applyFill="1" applyBorder="1"/>
    <x:xf numFmtId="201" fontId="8" fillId="3" borderId="5" xfId="0" applyNumberFormat="1" applyFont="1" applyFill="1" applyBorder="1" applyAlignment="1">
      <x:alignment vertical="center"/>
    </x:xf>
    <x:xf numFmtId="203" fontId="9" fillId="3" borderId="5" xfId="0" applyNumberFormat="1" applyFont="1" applyFill="1" applyBorder="1"/>
    <x:xf numFmtId="203" fontId="9" fillId="3" borderId="5" xfId="0" applyNumberFormat="1" applyFont="1" applyFill="1" applyBorder="1" applyAlignment="1">
      <x:alignment vertical="center"/>
    </x:xf>
    <x:xf numFmtId="203" fontId="10" fillId="3" borderId="5" xfId="0" applyNumberFormat="1" applyFont="1" applyFill="1" applyBorder="1"/>
    <x:xf numFmtId="203" fontId="10" fillId="3" borderId="5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/>
    <x:xf numFmtId="0" fontId="13" fillId="6" borderId="10" xfId="0" applyNumberFormat="1" applyFont="1" applyFill="1" applyBorder="1"/>
    <x:xf numFmtId="0" fontId="13" fillId="6" borderId="11" xfId="0" applyNumberFormat="1" applyFont="1" applyFill="1" applyBorder="1"/>
    <x:xf numFmtId="0" fontId="13" fillId="6" borderId="12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10" xfId="0" applyNumberFormat="1" applyFont="1" applyFill="1" applyBorder="1" applyAlignment="1">
      <x:alignment wrapText="1"/>
    </x:xf>
    <x:xf numFmtId="0" fontId="13" fillId="6" borderId="11" xfId="0" applyNumberFormat="1" applyFont="1" applyFill="1" applyBorder="1" applyAlignment="1">
      <x:alignment wrapText="1"/>
    </x:xf>
    <x:xf numFmtId="0" fontId="13" fillId="6" borderId="12" xfId="0" applyNumberFormat="1" applyFont="1" applyFill="1" applyBorder="1" applyAlignment="1">
      <x:alignment wrapText="1"/>
    </x:xf>
    <x:xf numFmtId="0" fontId="13" fillId="6" borderId="13" xfId="0" applyNumberFormat="1" applyFont="1" applyFill="1" applyBorder="1" applyAlignment="1">
      <x:alignment wrapText="1"/>
    </x:xf>
    <x:xf numFmtId="0" fontId="13" fillId="6" borderId="14" xfId="0" applyNumberFormat="1" applyFont="1" applyFill="1" applyBorder="1" applyAlignment="1">
      <x:alignment wrapText="1"/>
    </x:xf>
    <x:xf numFmtId="0" fontId="13" fillId="6" borderId="1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9" xfId="0" applyNumberFormat="1" applyFont="1" applyFill="1" applyBorder="1"/>
    <x:xf numFmtId="0" fontId="2" fillId="9" borderId="20" xfId="0" applyNumberFormat="1" applyFont="1" applyFill="1" applyBorder="1"/>
    <x:xf numFmtId="0" fontId="2" fillId="9" borderId="21" xfId="0" applyNumberFormat="1" applyFont="1" applyFill="1" applyBorder="1"/>
    <x:xf numFmtId="0" fontId="2" fillId="9" borderId="22" xfId="0" applyNumberFormat="1" applyFont="1" applyFill="1" applyBorder="1"/>
    <x:xf numFmtId="0" fontId="2" fillId="9" borderId="23" xfId="0" applyNumberFormat="1" applyFont="1" applyFill="1" applyBorder="1"/>
    <x:xf numFmtId="0" fontId="2" fillId="9" borderId="24" xfId="0" applyNumberFormat="1" applyFont="1" applyFill="1" applyBorder="1"/>
    <x:xf numFmtId="0" fontId="2" fillId="9" borderId="25" xfId="0" applyNumberFormat="1" applyFont="1" applyFill="1" applyBorder="1"/>
    <x:xf numFmtId="0" fontId="2" fillId="9" borderId="26" xfId="0" applyNumberFormat="1" applyFont="1" applyFill="1" applyBorder="1"/>
    <x:xf numFmtId="0" fontId="2" fillId="9" borderId="19" xfId="0" applyNumberFormat="1" applyFont="1" applyFill="1" applyBorder="1" applyAlignment="1">
      <x:alignment wrapText="1"/>
    </x:xf>
    <x:xf numFmtId="0" fontId="2" fillId="9" borderId="20" xfId="0" applyNumberFormat="1" applyFont="1" applyFill="1" applyBorder="1" applyAlignment="1">
      <x:alignment wrapText="1"/>
    </x:xf>
    <x:xf numFmtId="0" fontId="2" fillId="9" borderId="21" xfId="0" applyNumberFormat="1" applyFont="1" applyFill="1" applyBorder="1" applyAlignment="1">
      <x:alignment wrapText="1"/>
    </x:xf>
    <x:xf numFmtId="0" fontId="2" fillId="9" borderId="22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23" xfId="0" applyNumberFormat="1" applyFont="1" applyFill="1" applyBorder="1" applyAlignment="1">
      <x:alignment wrapText="1"/>
    </x:xf>
    <x:xf numFmtId="0" fontId="2" fillId="9" borderId="24" xfId="0" applyNumberFormat="1" applyFont="1" applyFill="1" applyBorder="1" applyAlignment="1">
      <x:alignment wrapText="1"/>
    </x:xf>
    <x:xf numFmtId="0" fontId="2" fillId="9" borderId="25" xfId="0" applyNumberFormat="1" applyFont="1" applyFill="1" applyBorder="1" applyAlignment="1">
      <x:alignment wrapText="1"/>
    </x:xf>
    <x:xf numFmtId="0" fontId="2" fillId="9" borderId="26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4" fillId="2" borderId="27" xfId="0" applyNumberFormat="1" applyFont="1" applyFill="1" applyBorder="1"/>
    <x:xf numFmtId="0" fontId="14" fillId="2" borderId="28" xfId="0" applyNumberFormat="1" applyFont="1" applyFill="1" applyBorder="1"/>
    <x:xf numFmtId="0" fontId="14" fillId="2" borderId="29" xfId="0" applyNumberFormat="1" applyFont="1" applyFill="1" applyBorder="1"/>
    <x:xf numFmtId="0" fontId="14" fillId="2" borderId="30" xfId="0" applyNumberFormat="1" applyFont="1" applyFill="1" applyBorder="1"/>
    <x:xf numFmtId="0" fontId="14" fillId="2" borderId="31" xfId="0" applyNumberFormat="1" applyFont="1" applyFill="1" applyBorder="1"/>
    <x:xf numFmtId="0" fontId="14" fillId="2" borderId="32" xfId="0" applyNumberFormat="1" applyFont="1" applyFill="1" applyBorder="1"/>
    <x:xf numFmtId="0" fontId="14" fillId="2" borderId="27" xfId="0" applyNumberFormat="1" applyFont="1" applyFill="1" applyBorder="1" applyAlignment="1">
      <x:alignment wrapText="1"/>
    </x:xf>
    <x:xf numFmtId="0" fontId="14" fillId="2" borderId="28" xfId="0" applyNumberFormat="1" applyFont="1" applyFill="1" applyBorder="1" applyAlignment="1">
      <x:alignment wrapText="1"/>
    </x:xf>
    <x:xf numFmtId="0" fontId="14" fillId="2" borderId="29" xfId="0" applyNumberFormat="1" applyFont="1" applyFill="1" applyBorder="1" applyAlignment="1">
      <x:alignment wrapText="1"/>
    </x:xf>
    <x:xf numFmtId="0" fontId="14" fillId="2" borderId="30" xfId="0" applyNumberFormat="1" applyFont="1" applyFill="1" applyBorder="1" applyAlignment="1">
      <x:alignment wrapText="1"/>
    </x:xf>
    <x:xf numFmtId="0" fontId="14" fillId="2" borderId="31" xfId="0" applyNumberFormat="1" applyFont="1" applyFill="1" applyBorder="1" applyAlignment="1">
      <x:alignment wrapText="1"/>
    </x:xf>
    <x:xf numFmtId="0" fontId="14" fillId="2" borderId="32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E8F68"/>
      </x:font>
      <x:fill>
        <x:patternFill patternType="solid">
          <x:bgColor rgb="FFDDF5ED"/>
        </x:patternFill>
      </x:fill>
    </x:dxf>
    <x:dxf>
      <x:font>
        <x:color rgb="FFB88200"/>
      </x:font>
      <x:fill>
        <x:patternFill patternType="solid">
          <x:bgColor rgb="FFFFF2C7"/>
        </x:patternFill>
      </x:fill>
    </x:dxf>
    <x:dxf>
      <x:font>
        <x:color rgb="FFD95C53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e62b0d1e44058" /><Relationship Type="http://schemas.openxmlformats.org/officeDocument/2006/relationships/theme" Target="/xl/theme/theme1.xml" Id="Rcfbd79f332bb467f" /><Relationship Type="http://schemas.microsoft.com/office/2022/11/relationships/FeaturePropertyBag" Target="/xl/featurePropertyBag/featurePropertyBag.xml" Id="Rfa17632a9b584226" /><Relationship Type="http://schemas.openxmlformats.org/officeDocument/2006/relationships/sharedStrings" Target="/xl/sharedStrings.xml" Id="R27d6fdd3001241e4" /><Relationship Type="http://schemas.openxmlformats.org/officeDocument/2006/relationships/worksheet" Target="/xl/worksheets/sheet1.xml" Id="R68ec8eb983ab483b" /><Relationship Type="http://schemas.openxmlformats.org/officeDocument/2006/relationships/worksheet" Target="/xl/worksheets/sheet2.xml" Id="Ra1ae3ca3bc3742bb" /><Relationship Type="http://schemas.openxmlformats.org/officeDocument/2006/relationships/worksheet" Target="/xl/worksheets/sheet3.xml" Id="R0af761df0ecd451f" /><Relationship Type="http://schemas.openxmlformats.org/officeDocument/2006/relationships/worksheet" Target="/xl/worksheets/sheet4.xml" Id="R4957dbd16f3543e3" /><Relationship Type="http://schemas.openxmlformats.org/officeDocument/2006/relationships/worksheet" Target="/xl/worksheets/sheet5.xml" Id="R1fb3cc22cd5543fd" /><Relationship Type="http://schemas.openxmlformats.org/officeDocument/2006/relationships/worksheet" Target="/xl/worksheets/sheet6.xml" Id="Rbe640dffbcff4452" /><Relationship Type="http://schemas.openxmlformats.org/officeDocument/2006/relationships/worksheet" Target="/xl/worksheets/sheet7.xml" Id="R514038d2a1f54680" /><Relationship Type="http://schemas.openxmlformats.org/officeDocument/2006/relationships/worksheet" Target="/xl/worksheets/sheet8.xml" Id="R40d66125e0314bce" /><Relationship Type="http://schemas.openxmlformats.org/officeDocument/2006/relationships/worksheet" Target="/xl/worksheets/sheet9.xml" Id="R56f73b25cef24d3b" /><Relationship Type="http://schemas.openxmlformats.org/officeDocument/2006/relationships/worksheet" Target="/xl/worksheets/sheet10.xml" Id="R981e53dc6403415c" /><Relationship Type="http://schemas.openxmlformats.org/officeDocument/2006/relationships/worksheet" Target="/xl/worksheets/sheet11.xml" Id="R6929bb42991441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28ec4bbed04631" /><Relationship Type="http://schemas.openxmlformats.org/officeDocument/2006/relationships/chart" Target="/xl/drawings/charts/chart2.xml" Id="R792782e263f046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c6712ec4c814eb7" /><Relationship Type="http://schemas.openxmlformats.org/officeDocument/2006/relationships/chart" Target="/xl/drawings/charts/chart4.xml" Id="Rce3a9f98652d44e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d74219e296945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Module-Chunks führen beim Modulfund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'Dashboard'!$B$31:$B$33</c:f>
              <c:numCache>
                <c:formatCode>0.000;-0.000;;</c:formatCode>
                <c:ptCount val="0"/>
              </c:numCache>
            </c:numRef>
          </c:val>
        </c:ser>
        <c:ser>
          <c:idx val="1"/>
          <c:order val="1"/>
          <c:tx>
            <c:v>Recall@3</c:v>
          </c:tx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'Dashboard'!$C$31:$C$33</c:f>
              <c:numCache>
                <c:formatCode>0.000;-0.000;;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;-0.0;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rgbClr val="FFFFFF"/>
                </a:solidFill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Deutsch strict: Zielmetrik entscheidet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'Dashboard'!$J$31:$J$34</c:f>
              <c:strCache>
                <c:ptCount val="0"/>
              </c:strCache>
            </c:strRef>
          </c:cat>
          <c:val>
            <c:numRef>
              <c:f>'Dashboard'!$K$31:$K$34</c:f>
              <c:numCache>
                <c:formatCode>0.000;-0.000;;</c:formatCode>
                <c:ptCount val="0"/>
              </c:numCache>
            </c:numRef>
          </c:val>
        </c:ser>
        <c:ser>
          <c:idx val="1"/>
          <c:order val="1"/>
          <c:tx>
            <c:v>Recall@3</c:v>
          </c:tx>
          <c:cat>
            <c:strRef>
              <c:f>'Dashboard'!$J$31:$J$34</c:f>
              <c:strCache>
                <c:ptCount val="0"/>
              </c:strCache>
            </c:strRef>
          </c:cat>
          <c:val>
            <c:numRef>
              <c:f>'Dashboard'!$L$31:$L$34</c:f>
              <c:numCache>
                <c:formatCode>0.000;-0.000;;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;-0.0;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rgbClr val="FFFFFF"/>
                </a:solidFill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Deutsch strict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'Ergebnisse'!$J$36:$J$40</c:f>
              <c:strCache>
                <c:ptCount val="0"/>
              </c:strCache>
            </c:strRef>
          </c:cat>
          <c:val>
            <c:numRef>
              <c:f>'Ergebnisse'!$K$36:$K$40</c:f>
              <c:numCache>
                <c:formatCode>0.000;-0.000;;</c:formatCode>
                <c:ptCount val="0"/>
              </c:numCache>
            </c:numRef>
          </c:val>
        </c:ser>
        <c:ser>
          <c:idx val="1"/>
          <c:order val="1"/>
          <c:tx>
            <c:v>Recall@3</c:v>
          </c:tx>
          <c:cat>
            <c:strRef>
              <c:f>'Ergebnisse'!$J$36:$J$40</c:f>
              <c:strCache>
                <c:ptCount val="0"/>
              </c:strCache>
            </c:strRef>
          </c:cat>
          <c:val>
            <c:numRef>
              <c:f>'Ergebnisse'!$L$36:$L$40</c:f>
              <c:numCache>
                <c:formatCode>0.000;-0.000;;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;-0.0;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rgbClr val="FFFFFF"/>
                </a:solidFill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Mehrsprachig strict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'Ergebnisse'!$N$36:$N$40</c:f>
              <c:strCache>
                <c:ptCount val="0"/>
              </c:strCache>
            </c:strRef>
          </c:cat>
          <c:val>
            <c:numRef>
              <c:f>'Ergebnisse'!$O$36:$O$40</c:f>
              <c:numCache>
                <c:formatCode>0.000;-0.000;;</c:formatCode>
                <c:ptCount val="0"/>
              </c:numCache>
            </c:numRef>
          </c:val>
        </c:ser>
        <c:ser>
          <c:idx val="1"/>
          <c:order val="1"/>
          <c:tx>
            <c:v>Recall@3</c:v>
          </c:tx>
          <c:cat>
            <c:strRef>
              <c:f>'Ergebnisse'!$N$36:$N$40</c:f>
              <c:strCache>
                <c:ptCount val="0"/>
              </c:strCache>
            </c:strRef>
          </c:cat>
          <c:val>
            <c:numRef>
              <c:f>'Ergebnisse'!$P$36:$P$40</c:f>
              <c:numCache>
                <c:formatCode>0.000;-0.000;;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;-0.0;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rgbClr val="FFFFFF"/>
                </a:solidFill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Field-Chunk-Anzahl wächst mit dem Korpus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Field-Chunks</c:v>
          </c:tx>
          <c:cat>
            <c:strRef>
              <c:f>'Korpus'!$I$23:$I$25</c:f>
              <c:strCache>
                <c:ptCount val="0"/>
              </c:strCache>
            </c:strRef>
          </c:cat>
          <c:val>
            <c:numRef>
              <c:f>'Korpus'!$J$23:$J$25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rgbClr val="FFFFFF"/>
                </a:solidFill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8ec4bbed0463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2782e263f046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6712ec4c814eb7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a9f98652d44e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74219e2969456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rievalRaw" displayName="RetrievalRaw" ref="A1:P19" headerRowCount="1" totalsRowCount="0" totalsRowShown="0">
  <x:autoFilter ref="A1:P19"/>
  <x:tableColumns count="16">
    <x:tableColumn id="1" name="series"/>
    <x:tableColumn id="2" name="query_set"/>
    <x:tableColumn id="3" name="n"/>
    <x:tableColumn id="4" name="corpus"/>
    <x:tableColumn id="5" name="chunking"/>
    <x:tableColumn id="6" name="retriever"/>
    <x:tableColumn id="7" name="top_k"/>
    <x:tableColumn id="8" name="matching"/>
    <x:tableColumn id="9" name="section_boost"/>
    <x:tableColumn id="10" name="query_expansion"/>
    <x:tableColumn id="11" name="alpha"/>
    <x:tableColumn id="12" name="precision@3"/>
    <x:tableColumn id="13" name="recall@3"/>
    <x:tableColumn id="14" name="mrr"/>
    <x:tableColumn id="15" name="ndcg@3"/>
    <x:tableColumn id="16" name="hit@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QueryRaw" displayName="PerQueryRaw" ref="A1:W173" headerRowCount="1" totalsRowCount="0" totalsRowShown="0">
  <x:autoFilter ref="A1:W173"/>
  <x:tableColumns count="23">
    <x:tableColumn id="1" name="query_set"/>
    <x:tableColumn id="2" name="system"/>
    <x:tableColumn id="3" name="query_id"/>
    <x:tableColumn id="4" name="query_type"/>
    <x:tableColumn id="5" name="query"/>
    <x:tableColumn id="6" name="matching"/>
    <x:tableColumn id="7" name="expected_document"/>
    <x:tableColumn id="8" name="expected_module"/>
    <x:tableColumn id="9" name="expected_section"/>
    <x:tableColumn id="10" name="top1_document"/>
    <x:tableColumn id="11" name="top1_module"/>
    <x:tableColumn id="12" name="top1_section"/>
    <x:tableColumn id="13" name="first_relevant_rank"/>
    <x:tableColumn id="14" name="relevant_keys"/>
    <x:tableColumn id="15" name="retrieved_keys@3"/>
    <x:tableColumn id="16" name="relevant_total"/>
    <x:tableColumn id="17" name="relevant_found@3"/>
    <x:tableColumn id="18" name="precision@3"/>
    <x:tableColumn id="19" name="recall@3"/>
    <x:tableColumn id="20" name="reciprocal_rank"/>
    <x:tableColumn id="21" name="ndcg@3"/>
    <x:tableColumn id="22" name="hit@1"/>
    <x:tableColumn id="23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ityRaw" displayName="IntegrityRaw" ref="A1:E10" headerRowCount="1" totalsRowCount="0" totalsRowShown="0">
  <x:autoFilter ref="A1:E10"/>
  <x:tableColumns count="5">
    <x:tableColumn id="1" name="corpus"/>
    <x:tableColumn id="2" name="documents"/>
    <x:tableColumn id="3" name="chunking"/>
    <x:tableColumn id="4" name="chunks"/>
    <x:tableColumn id="5" name="unique_chunk_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Raw" displayName="PilotRaw" ref="A1:J19" headerRowCount="1" totalsRowCount="0" totalsRowShown="0">
  <x:autoFilter ref="A1:J19"/>
  <x:tableColumns count="10">
    <x:tableColumn id="1" name="query_id"/>
    <x:tableColumn id="2" name="category"/>
    <x:tableColumn id="3" name="query"/>
    <x:tableColumn id="4" name="expected_behavior"/>
    <x:tableColumn id="5" name="repeat"/>
    <x:tableColumn id="6" name="observed_behavior"/>
    <x:tableColumn id="7" name="behavior_correct"/>
    <x:tableColumn id="8" name="answer"/>
    <x:tableColumn id="9" name="retrieved_sources"/>
    <x:tableColumn id="10" name="exactly_reproduc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54f5aaa14840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1190b72d709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6fad3d7772e4d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ef00bffda86f4d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0aeae12cffc74b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2fcc3c5d850742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db498754ee3549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4" customHeight="1">
      <x:c r="A1" s="17" t="str">
        <x:v>Modulhandbuch-RAG · finale Auswertung</x:v>
      </x:c>
      <x:c r="B1" s="17" t="str">
        <x:v>Modulhandbuch-RAG · finale Auswertung</x:v>
      </x:c>
      <x:c r="C1" s="17" t="str">
        <x:v>Modulhandbuch-RAG · finale Auswertung</x:v>
      </x:c>
      <x:c r="D1" s="17" t="str">
        <x:v>Modulhandbuch-RAG · finale Auswertung</x:v>
      </x:c>
      <x:c r="E1" s="17" t="str">
        <x:v>Modulhandbuch-RAG · finale Auswertung</x:v>
      </x:c>
      <x:c r="F1" s="17" t="str">
        <x:v>Modulhandbuch-RAG · finale Auswertung</x:v>
      </x:c>
      <x:c r="G1" s="17" t="str">
        <x:v>Modulhandbuch-RAG · finale Auswertung</x:v>
      </x:c>
      <x:c r="H1" s="17" t="str">
        <x:v>Modulhandbuch-RAG · finale Auswertung</x:v>
      </x:c>
      <x:c r="I1" s="17" t="str">
        <x:v>Modulhandbuch-RAG · finale Auswertung</x:v>
      </x:c>
      <x:c r="J1" s="17" t="str">
        <x:v>Modulhandbuch-RAG · finale Auswertung</x:v>
      </x:c>
      <x:c r="K1" s="17" t="str">
        <x:v>Modulhandbuch-RAG · finale Auswertung</x:v>
      </x:c>
      <x:c r="L1" s="17" t="str">
        <x:v>Modulhandbuch-RAG · finale Auswertung</x:v>
      </x:c>
      <x:c r="M1" s="17" t="str">
        <x:v>Modulhandbuch-RAG · finale Auswertung</x:v>
      </x:c>
      <x:c r="N1" s="17" t="str">
        <x:v>Modulhandbuch-RAG · finale Auswertung</x:v>
      </x:c>
      <x:c r="O1" s="17" t="str">
        <x:v>Modulhandbuch-RAG · finale Auswertung</x:v>
      </x:c>
      <x:c r="P1" s="17" t="str">
        <x:v>Modulhandbuch-RAG · finale Auswertung</x:v>
      </x:c>
    </x:row>
    <x:row r="2" ht="22" customHeight="1">
      <x:c r="A2" s="19" t="str">
        <x:v>Deterministischer Abgabelauf · Commit 0d3bdc9 · Python 3.11.9 · 14.07.2026</x:v>
      </x:c>
      <x:c r="B2" s="19" t="str">
        <x:v>Deterministischer Abgabelauf · Commit 0d3bdc9 · Python 3.11.9 · 14.07.2026</x:v>
      </x:c>
      <x:c r="C2" s="19" t="str">
        <x:v>Deterministischer Abgabelauf · Commit 0d3bdc9 · Python 3.11.9 · 14.07.2026</x:v>
      </x:c>
      <x:c r="D2" s="19" t="str">
        <x:v>Deterministischer Abgabelauf · Commit 0d3bdc9 · Python 3.11.9 · 14.07.2026</x:v>
      </x:c>
      <x:c r="E2" s="19" t="str">
        <x:v>Deterministischer Abgabelauf · Commit 0d3bdc9 · Python 3.11.9 · 14.07.2026</x:v>
      </x:c>
      <x:c r="F2" s="19" t="str">
        <x:v>Deterministischer Abgabelauf · Commit 0d3bdc9 · Python 3.11.9 · 14.07.2026</x:v>
      </x:c>
      <x:c r="G2" s="19" t="str">
        <x:v>Deterministischer Abgabelauf · Commit 0d3bdc9 · Python 3.11.9 · 14.07.2026</x:v>
      </x:c>
      <x:c r="H2" s="19" t="str">
        <x:v>Deterministischer Abgabelauf · Commit 0d3bdc9 · Python 3.11.9 · 14.07.2026</x:v>
      </x:c>
      <x:c r="I2" s="19" t="str">
        <x:v>Deterministischer Abgabelauf · Commit 0d3bdc9 · Python 3.11.9 · 14.07.2026</x:v>
      </x:c>
      <x:c r="J2" s="19" t="str">
        <x:v>Deterministischer Abgabelauf · Commit 0d3bdc9 · Python 3.11.9 · 14.07.2026</x:v>
      </x:c>
      <x:c r="K2" s="19" t="str">
        <x:v>Deterministischer Abgabelauf · Commit 0d3bdc9 · Python 3.11.9 · 14.07.2026</x:v>
      </x:c>
      <x:c r="L2" s="19" t="str">
        <x:v>Deterministischer Abgabelauf · Commit 0d3bdc9 · Python 3.11.9 · 14.07.2026</x:v>
      </x:c>
      <x:c r="M2" s="19" t="str">
        <x:v>Deterministischer Abgabelauf · Commit 0d3bdc9 · Python 3.11.9 · 14.07.2026</x:v>
      </x:c>
      <x:c r="N2" s="19" t="str">
        <x:v>Deterministischer Abgabelauf · Commit 0d3bdc9 · Python 3.11.9 · 14.07.2026</x:v>
      </x:c>
      <x:c r="O2" s="19" t="str">
        <x:v>Deterministischer Abgabelauf · Commit 0d3bdc9 · Python 3.11.9 · 14.07.2026</x:v>
      </x:c>
      <x:c r="P2" s="19" t="str">
        <x:v>Deterministischer Abgabelauf · Commit 0d3bdc9 · Python 3.11.9 · 14.07.2026</x:v>
      </x:c>
    </x:row>
    <x:row r="4">
      <x:c r="A4" s="29" t="str">
        <x:v>Modulfund</x:v>
      </x:c>
      <x:c r="B4" s="30" t="str">
        <x:v>Modulfund</x:v>
      </x:c>
      <x:c r="C4" s="30" t="str">
        <x:v>Modulfund</x:v>
      </x:c>
      <x:c r="D4" s="31" t="str">
        <x:v>Modulfund</x:v>
      </x:c>
      <x:c r="E4" s="29" t="str">
        <x:v>Strict · Rang 1</x:v>
      </x:c>
      <x:c r="F4" s="30" t="str">
        <x:v>Strict · Rang 1</x:v>
      </x:c>
      <x:c r="G4" s="30" t="str">
        <x:v>Strict · Rang 1</x:v>
      </x:c>
      <x:c r="H4" s="31" t="str">
        <x:v>Strict · Rang 1</x:v>
      </x:c>
      <x:c r="I4" s="29" t="str">
        <x:v>Strict · Evidenzabdeckung</x:v>
      </x:c>
      <x:c r="J4" s="30" t="str">
        <x:v>Strict · Evidenzabdeckung</x:v>
      </x:c>
      <x:c r="K4" s="30" t="str">
        <x:v>Strict · Evidenzabdeckung</x:v>
      </x:c>
      <x:c r="L4" s="31" t="str">
        <x:v>Strict · Evidenzabdeckung</x:v>
      </x:c>
      <x:c r="M4" s="29" t="str">
        <x:v>Mehrsprachig · Evidenzabdeckung</x:v>
      </x:c>
      <x:c r="N4" s="30" t="str">
        <x:v>Mehrsprachig · Evidenzabdeckung</x:v>
      </x:c>
      <x:c r="O4" s="30" t="str">
        <x:v>Mehrsprachig · Evidenzabdeckung</x:v>
      </x:c>
      <x:c r="P4" s="31" t="str">
        <x:v>Mehrsprachig · Evidenzabdeckung</x:v>
      </x:c>
    </x:row>
    <x:row r="5">
      <x:c r="A5" s="34" t="n">
        <x:f>'Retrieval_Rohdaten'!P3</x:f>
        <x:v>0.96</x:v>
      </x:c>
      <x:c r="B5" s="20"/>
      <x:c r="C5" s="20"/>
      <x:c r="D5" s="25"/>
      <x:c r="E5" s="40" t="n">
        <x:f>'Retrieval_Rohdaten'!P10</x:f>
        <x:v>0.72</x:v>
      </x:c>
      <x:c r="F5" s="20"/>
      <x:c r="G5" s="20"/>
      <x:c r="H5" s="25"/>
      <x:c r="I5" s="43" t="n">
        <x:f>'Retrieval_Rohdaten'!M11</x:f>
        <x:v>0.9</x:v>
      </x:c>
      <x:c r="J5" s="20"/>
      <x:c r="K5" s="20"/>
      <x:c r="L5" s="25"/>
      <x:c r="M5" s="46" t="n">
        <x:f>'Retrieval_Rohdaten'!M15</x:f>
        <x:v>1</x:v>
      </x:c>
      <x:c r="N5" s="20"/>
      <x:c r="O5" s="20"/>
      <x:c r="P5" s="25"/>
    </x:row>
    <x:row r="6">
      <x:c r="A6" s="24"/>
      <x:c r="B6" s="20"/>
      <x:c r="C6" s="20"/>
      <x:c r="D6" s="25"/>
      <x:c r="E6" s="24"/>
      <x:c r="F6" s="20"/>
      <x:c r="G6" s="20"/>
      <x:c r="H6" s="25"/>
      <x:c r="I6" s="24"/>
      <x:c r="J6" s="20"/>
      <x:c r="K6" s="20"/>
      <x:c r="L6" s="25"/>
      <x:c r="M6" s="24"/>
      <x:c r="N6" s="20"/>
      <x:c r="O6" s="20"/>
      <x:c r="P6" s="25"/>
    </x:row>
    <x:row r="7">
      <x:c r="A7" s="35" t="str">
        <x:v>Module + BM25 · Deutsch n=25</x:v>
      </x:c>
      <x:c r="B7" s="36" t="str">
        <x:v>Module + BM25 · Deutsch n=25</x:v>
      </x:c>
      <x:c r="C7" s="36" t="str">
        <x:v>Module + BM25 · Deutsch n=25</x:v>
      </x:c>
      <x:c r="D7" s="37" t="str">
        <x:v>Module + BM25 · Deutsch n=25</x:v>
      </x:c>
      <x:c r="E7" s="35" t="str">
        <x:v>Hybrid α=0,25 · Deutsch n=25</x:v>
      </x:c>
      <x:c r="F7" s="36" t="str">
        <x:v>Hybrid α=0,25 · Deutsch n=25</x:v>
      </x:c>
      <x:c r="G7" s="36" t="str">
        <x:v>Hybrid α=0,25 · Deutsch n=25</x:v>
      </x:c>
      <x:c r="H7" s="37" t="str">
        <x:v>Hybrid α=0,25 · Deutsch n=25</x:v>
      </x:c>
      <x:c r="I7" s="35" t="str">
        <x:v>Hybrid α=0,50 · Deutsch n=25</x:v>
      </x:c>
      <x:c r="J7" s="36" t="str">
        <x:v>Hybrid α=0,50 · Deutsch n=25</x:v>
      </x:c>
      <x:c r="K7" s="36" t="str">
        <x:v>Hybrid α=0,50 · Deutsch n=25</x:v>
      </x:c>
      <x:c r="L7" s="37" t="str">
        <x:v>Hybrid α=0,50 · Deutsch n=25</x:v>
      </x:c>
      <x:c r="M7" s="35" t="str">
        <x:v>Hybrid α=0,25 · n=18</x:v>
      </x:c>
      <x:c r="N7" s="36" t="str">
        <x:v>Hybrid α=0,25 · n=18</x:v>
      </x:c>
      <x:c r="O7" s="36" t="str">
        <x:v>Hybrid α=0,25 · n=18</x:v>
      </x:c>
      <x:c r="P7" s="37" t="str">
        <x:v>Hybrid α=0,25 · n=18</x:v>
      </x:c>
    </x:row>
    <x:row r="27">
      <x:c r="A27" s="65" t="str">
        <x:v>Lesart: α ist der Dense-Anteil. α=0,25 bewahrt mehr BM25-Signal; α=0,50 erhöht im deutschen Set Recall@3. Offizielle Qualitätswerte gelten nur für das CL-BSc-Goldset.</x:v>
      </x:c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7"/>
    </x:row>
    <x:row r="28">
      <x:c r="A28" s="68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70"/>
    </x:row>
    <x:row r="30" ht="28" customHeight="1">
      <x:c r="A30" s="51" t="str">
        <x:v>Chunking</x:v>
      </x:c>
      <x:c r="B30" s="51" t="str">
        <x:v>Hit@1</x:v>
      </x:c>
      <x:c r="C30" s="51" t="str">
        <x:v>Recall@3</x:v>
      </x:c>
      <x:c r="J30" s="56" t="str">
        <x:v>Retriever</x:v>
      </x:c>
      <x:c r="K30" s="56" t="str">
        <x:v>Hit@1</x:v>
      </x:c>
      <x:c r="L30" s="56" t="str">
        <x:v>Recall@3</x:v>
      </x:c>
    </x:row>
    <x:row r="31">
      <x:c r="A31" s="13" t="str">
        <x:v>Naive</x:v>
      </x:c>
      <x:c r="B31" s="15" t="n">
        <x:f>'Retrieval_Rohdaten'!P2</x:f>
        <x:v>0.64</x:v>
      </x:c>
      <x:c r="C31" s="15" t="n">
        <x:f>'Retrieval_Rohdaten'!M2</x:f>
        <x:v>0.92</x:v>
      </x:c>
      <x:c r="J31" s="13" t="str">
        <x:v>Dense</x:v>
      </x:c>
      <x:c r="K31" s="15" t="n">
        <x:f>'Retrieval_Rohdaten'!P8</x:f>
        <x:v>0.28</x:v>
      </x:c>
      <x:c r="L31" s="15" t="n">
        <x:f>'Retrieval_Rohdaten'!M8</x:f>
        <x:v>0.4</x:v>
      </x:c>
    </x:row>
    <x:row r="32">
      <x:c r="A32" s="13" t="str">
        <x:v>Module</x:v>
      </x:c>
      <x:c r="B32" s="15" t="n">
        <x:f>'Retrieval_Rohdaten'!P3</x:f>
        <x:v>0.96</x:v>
      </x:c>
      <x:c r="C32" s="15" t="n">
        <x:f>'Retrieval_Rohdaten'!M3</x:f>
        <x:v>0.96</x:v>
      </x:c>
      <x:c r="J32" s="13" t="str">
        <x:v>BM25</x:v>
      </x:c>
      <x:c r="K32" s="15" t="n">
        <x:f>'Retrieval_Rohdaten'!P9</x:f>
        <x:v>0.68</x:v>
      </x:c>
      <x:c r="L32" s="15" t="n">
        <x:f>'Retrieval_Rohdaten'!M9</x:f>
        <x:v>0.78</x:v>
      </x:c>
    </x:row>
    <x:row r="33">
      <x:c r="A33" s="13" t="str">
        <x:v>Field</x:v>
      </x:c>
      <x:c r="B33" s="15" t="n">
        <x:f>'Retrieval_Rohdaten'!P4</x:f>
        <x:v>0.84</x:v>
      </x:c>
      <x:c r="C33" s="15" t="n">
        <x:f>'Retrieval_Rohdaten'!M4</x:f>
        <x:v>0.92</x:v>
      </x:c>
      <x:c r="J33" s="13" t="str">
        <x:v>Hybrid α=0,25</x:v>
      </x:c>
      <x:c r="K33" s="15" t="n">
        <x:f>'Retrieval_Rohdaten'!P10</x:f>
        <x:v>0.72</x:v>
      </x:c>
      <x:c r="L33" s="15" t="n">
        <x:f>'Retrieval_Rohdaten'!M10</x:f>
        <x:v>0.88</x:v>
      </x:c>
    </x:row>
    <x:row r="34">
      <x:c r="J34" s="13" t="str">
        <x:v>Hybrid α=0,50</x:v>
      </x:c>
      <x:c r="K34" s="15" t="n">
        <x:f>'Retrieval_Rohdaten'!P11</x:f>
        <x:v>0.64</x:v>
      </x:c>
      <x:c r="L34" s="15" t="n">
        <x:f>'Retrieval_Rohdaten'!M11</x:f>
        <x:v>0.9</x:v>
      </x:c>
    </x:row>
  </x:sheetData>
  <x:mergeCells>
    <x:mergeCell ref="A1:P1"/>
    <x:mergeCell ref="A2:P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P4"/>
    <x:mergeCell ref="M5:P6"/>
    <x:mergeCell ref="M7:P7"/>
    <x:mergeCell ref="A27:P28"/>
  </x:mergeCells>
  <x:pageMargins left="0.7" right="0.7" top="0.75" bottom="0.75" header="0.3" footer="0.3"/>
  <x:drawing xmlns:r="http://schemas.openxmlformats.org/officeDocument/2006/relationships" r:id="Rfb54f5aaa148405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</x:cols>
  <x:sheetData>
    <x:row r="1" ht="34" customHeight="1">
      <x:c r="A1" s="17" t="str">
        <x:v>Ergebnisse</x:v>
      </x:c>
      <x:c r="B1" s="17" t="str">
        <x:v>Ergebnisse</x:v>
      </x:c>
      <x:c r="C1" s="17" t="str">
        <x:v>Ergebnisse</x:v>
      </x:c>
      <x:c r="D1" s="17" t="str">
        <x:v>Ergebnisse</x:v>
      </x:c>
      <x:c r="E1" s="17" t="str">
        <x:v>Ergebnisse</x:v>
      </x:c>
      <x:c r="F1" s="17" t="str">
        <x:v>Ergebnisse</x:v>
      </x:c>
      <x:c r="G1" s="17" t="str">
        <x:v>Ergebnisse</x:v>
      </x:c>
      <x:c r="H1" s="17" t="str">
        <x:v>Ergebnisse</x:v>
      </x:c>
      <x:c r="I1" s="17" t="str">
        <x:v>Ergebnisse</x:v>
      </x:c>
      <x:c r="J1" s="17" t="str">
        <x:v>Ergebnisse</x:v>
      </x:c>
      <x:c r="K1" s="17" t="str">
        <x:v>Ergebnisse</x:v>
      </x:c>
      <x:c r="L1" s="17" t="str">
        <x:v>Ergebnisse</x:v>
      </x:c>
      <x:c r="M1" s="17" t="str">
        <x:v>Ergebnisse</x:v>
      </x:c>
      <x:c r="N1" s="17" t="str">
        <x:v>Ergebnisse</x:v>
      </x:c>
      <x:c r="O1" s="17" t="str">
        <x:v>Ergebnisse</x:v>
      </x:c>
      <x:c r="P1" s="17" t="str">
        <x:v>Ergebnisse</x:v>
      </x:c>
    </x:row>
    <x:row r="2" ht="22" customHeight="1">
      <x:c r="A2" s="19" t="str">
        <x:v>Alle Tabellen sind mit Retrieval_Rohdaten verknüpft; keine manuell übertragenen Kennzahlen.</x:v>
      </x:c>
      <x:c r="B2" s="19" t="str">
        <x:v>Alle Tabellen sind mit Retrieval_Rohdaten verknüpft; keine manuell übertragenen Kennzahlen.</x:v>
      </x:c>
      <x:c r="C2" s="19" t="str">
        <x:v>Alle Tabellen sind mit Retrieval_Rohdaten verknüpft; keine manuell übertragenen Kennzahlen.</x:v>
      </x:c>
      <x:c r="D2" s="19" t="str">
        <x:v>Alle Tabellen sind mit Retrieval_Rohdaten verknüpft; keine manuell übertragenen Kennzahlen.</x:v>
      </x:c>
      <x:c r="E2" s="19" t="str">
        <x:v>Alle Tabellen sind mit Retrieval_Rohdaten verknüpft; keine manuell übertragenen Kennzahlen.</x:v>
      </x:c>
      <x:c r="F2" s="19" t="str">
        <x:v>Alle Tabellen sind mit Retrieval_Rohdaten verknüpft; keine manuell übertragenen Kennzahlen.</x:v>
      </x:c>
      <x:c r="G2" s="19" t="str">
        <x:v>Alle Tabellen sind mit Retrieval_Rohdaten verknüpft; keine manuell übertragenen Kennzahlen.</x:v>
      </x:c>
      <x:c r="H2" s="19" t="str">
        <x:v>Alle Tabellen sind mit Retrieval_Rohdaten verknüpft; keine manuell übertragenen Kennzahlen.</x:v>
      </x:c>
      <x:c r="I2" s="19" t="str">
        <x:v>Alle Tabellen sind mit Retrieval_Rohdaten verknüpft; keine manuell übertragenen Kennzahlen.</x:v>
      </x:c>
      <x:c r="J2" s="19" t="str">
        <x:v>Alle Tabellen sind mit Retrieval_Rohdaten verknüpft; keine manuell übertragenen Kennzahlen.</x:v>
      </x:c>
      <x:c r="K2" s="19" t="str">
        <x:v>Alle Tabellen sind mit Retrieval_Rohdaten verknüpft; keine manuell übertragenen Kennzahlen.</x:v>
      </x:c>
      <x:c r="L2" s="19" t="str">
        <x:v>Alle Tabellen sind mit Retrieval_Rohdaten verknüpft; keine manuell übertragenen Kennzahlen.</x:v>
      </x:c>
      <x:c r="M2" s="19" t="str">
        <x:v>Alle Tabellen sind mit Retrieval_Rohdaten verknüpft; keine manuell übertragenen Kennzahlen.</x:v>
      </x:c>
      <x:c r="N2" s="19" t="str">
        <x:v>Alle Tabellen sind mit Retrieval_Rohdaten verknüpft; keine manuell übertragenen Kennzahlen.</x:v>
      </x:c>
      <x:c r="O2" s="19" t="str">
        <x:v>Alle Tabellen sind mit Retrieval_Rohdaten verknüpft; keine manuell übertragenen Kennzahlen.</x:v>
      </x:c>
      <x:c r="P2" s="19" t="str">
        <x:v>Alle Tabellen sind mit Retrieval_Rohdaten verknüpft; keine manuell übertragenen Kennzahlen.</x:v>
      </x:c>
    </x:row>
    <x:row r="4" ht="24" customHeight="1">
      <x:c r="A4" s="75" t="str">
        <x:v>1 · Modulfund (relaxed)</x:v>
      </x:c>
      <x:c r="B4" s="76" t="str">
        <x:v>1 · Modulfund (relaxed)</x:v>
      </x:c>
      <x:c r="C4" s="76" t="str">
        <x:v>1 · Modulfund (relaxed)</x:v>
      </x:c>
      <x:c r="D4" s="76" t="str">
        <x:v>1 · Modulfund (relaxed)</x:v>
      </x:c>
      <x:c r="E4" s="76" t="str">
        <x:v>1 · Modulfund (relaxed)</x:v>
      </x:c>
      <x:c r="F4" s="76" t="str">
        <x:v>1 · Modulfund (relaxed)</x:v>
      </x:c>
      <x:c r="G4" s="76" t="str">
        <x:v>1 · Modulfund (relaxed)</x:v>
      </x:c>
      <x:c r="H4" s="77" t="str">
        <x:v>1 · Modulfund (relaxed)</x:v>
      </x:c>
    </x:row>
    <x:row r="5" ht="28" customHeight="1">
      <x:c r="A5" s="51" t="str">
        <x:v>Konfiguration</x:v>
      </x:c>
      <x:c r="B5" s="51" t="str">
        <x:v>α</x:v>
      </x:c>
      <x:c r="C5" s="51" t="str">
        <x:v>n</x:v>
      </x:c>
      <x:c r="D5" s="51" t="str">
        <x:v>Hit@1</x:v>
      </x:c>
      <x:c r="E5" s="51" t="str">
        <x:v>Recall@3</x:v>
      </x:c>
      <x:c r="F5" s="51" t="str">
        <x:v>MRR</x:v>
      </x:c>
      <x:c r="G5" s="51" t="str">
        <x:v>nDCG@3</x:v>
      </x:c>
      <x:c r="H5" s="51" t="str">
        <x:v>Precision@3</x:v>
      </x:c>
    </x:row>
    <x:row r="6">
      <x:c r="A6" s="13" t="str">
        <x:v>Naive + BM25</x:v>
      </x:c>
      <x:c r="B6" s="13" t="str">
        <x:v>–</x:v>
      </x:c>
      <x:c r="C6" s="13" t="n">
        <x:f>'Retrieval_Rohdaten'!C2</x:f>
        <x:v>25</x:v>
      </x:c>
      <x:c r="D6" s="15" t="n">
        <x:f>'Retrieval_Rohdaten'!P2</x:f>
        <x:v>0.64</x:v>
      </x:c>
      <x:c r="E6" s="15" t="n">
        <x:f>'Retrieval_Rohdaten'!M2</x:f>
        <x:v>0.92</x:v>
      </x:c>
      <x:c r="F6" s="15" t="n">
        <x:f>'Retrieval_Rohdaten'!N2</x:f>
        <x:v>0.7666666666666667</x:v>
      </x:c>
      <x:c r="G6" s="15" t="n">
        <x:f>'Retrieval_Rohdaten'!O2</x:f>
        <x:v>0.8061859507142916</x:v>
      </x:c>
      <x:c r="H6" s="15" t="n">
        <x:f>'Retrieval_Rohdaten'!L2</x:f>
        <x:v>0.30666666666666653</x:v>
      </x:c>
    </x:row>
    <x:row r="7">
      <x:c r="A7" s="13" t="str">
        <x:v>Module + BM25</x:v>
      </x:c>
      <x:c r="B7" s="13" t="str">
        <x:v>–</x:v>
      </x:c>
      <x:c r="C7" s="13" t="n">
        <x:f>'Retrieval_Rohdaten'!C3</x:f>
        <x:v>25</x:v>
      </x:c>
      <x:c r="D7" s="15" t="n">
        <x:f>'Retrieval_Rohdaten'!P3</x:f>
        <x:v>0.96</x:v>
      </x:c>
      <x:c r="E7" s="15" t="n">
        <x:f>'Retrieval_Rohdaten'!M3</x:f>
        <x:v>0.96</x:v>
      </x:c>
      <x:c r="F7" s="15" t="n">
        <x:f>'Retrieval_Rohdaten'!N3</x:f>
        <x:v>0.96</x:v>
      </x:c>
      <x:c r="G7" s="15" t="n">
        <x:f>'Retrieval_Rohdaten'!O3</x:f>
        <x:v>0.96</x:v>
      </x:c>
      <x:c r="H7" s="15" t="n">
        <x:f>'Retrieval_Rohdaten'!L3</x:f>
        <x:v>0.31999999999999984</x:v>
      </x:c>
    </x:row>
    <x:row r="8">
      <x:c r="A8" s="13" t="str">
        <x:v>Field + BM25</x:v>
      </x:c>
      <x:c r="B8" s="13" t="str">
        <x:v>–</x:v>
      </x:c>
      <x:c r="C8" s="13" t="n">
        <x:f>'Retrieval_Rohdaten'!C4</x:f>
        <x:v>25</x:v>
      </x:c>
      <x:c r="D8" s="15" t="n">
        <x:f>'Retrieval_Rohdaten'!P4</x:f>
        <x:v>0.84</x:v>
      </x:c>
      <x:c r="E8" s="15" t="n">
        <x:f>'Retrieval_Rohdaten'!M4</x:f>
        <x:v>0.92</x:v>
      </x:c>
      <x:c r="F8" s="15" t="n">
        <x:f>'Retrieval_Rohdaten'!N4</x:f>
        <x:v>0.8733333333333333</x:v>
      </x:c>
      <x:c r="G8" s="15" t="n">
        <x:f>'Retrieval_Rohdaten'!O4</x:f>
        <x:v>0.8852371901428583</x:v>
      </x:c>
      <x:c r="H8" s="15" t="n">
        <x:f>'Retrieval_Rohdaten'!L4</x:f>
        <x:v>0.30666666666666653</x:v>
      </x:c>
    </x:row>
    <x:row r="11" ht="24" customHeight="1">
      <x:c r="A11" s="75" t="str">
        <x:v>2 · Deutsch, feldgenau (strict)</x:v>
      </x:c>
      <x:c r="B11" s="76" t="str">
        <x:v>2 · Deutsch, feldgenau (strict)</x:v>
      </x:c>
      <x:c r="C11" s="76" t="str">
        <x:v>2 · Deutsch, feldgenau (strict)</x:v>
      </x:c>
      <x:c r="D11" s="76" t="str">
        <x:v>2 · Deutsch, feldgenau (strict)</x:v>
      </x:c>
      <x:c r="E11" s="76" t="str">
        <x:v>2 · Deutsch, feldgenau (strict)</x:v>
      </x:c>
      <x:c r="F11" s="76" t="str">
        <x:v>2 · Deutsch, feldgenau (strict)</x:v>
      </x:c>
      <x:c r="G11" s="76" t="str">
        <x:v>2 · Deutsch, feldgenau (strict)</x:v>
      </x:c>
      <x:c r="H11" s="77" t="str">
        <x:v>2 · Deutsch, feldgenau (strict)</x:v>
      </x:c>
    </x:row>
    <x:row r="12" ht="28" customHeight="1">
      <x:c r="A12" s="56" t="str">
        <x:v>Konfiguration</x:v>
      </x:c>
      <x:c r="B12" s="56" t="str">
        <x:v>α</x:v>
      </x:c>
      <x:c r="C12" s="56" t="str">
        <x:v>n</x:v>
      </x:c>
      <x:c r="D12" s="56" t="str">
        <x:v>Hit@1</x:v>
      </x:c>
      <x:c r="E12" s="56" t="str">
        <x:v>Recall@3</x:v>
      </x:c>
      <x:c r="F12" s="56" t="str">
        <x:v>MRR</x:v>
      </x:c>
      <x:c r="G12" s="56" t="str">
        <x:v>nDCG@3</x:v>
      </x:c>
      <x:c r="H12" s="56" t="str">
        <x:v>Precision@3</x:v>
      </x:c>
    </x:row>
    <x:row r="13">
      <x:c r="A13" s="13" t="str">
        <x:v>Dense</x:v>
      </x:c>
      <x:c r="B13" s="13" t="str">
        <x:v>–</x:v>
      </x:c>
      <x:c r="C13" s="13" t="n">
        <x:f>'Retrieval_Rohdaten'!C8</x:f>
        <x:v>25</x:v>
      </x:c>
      <x:c r="D13" s="15" t="n">
        <x:f>'Retrieval_Rohdaten'!P8</x:f>
        <x:v>0.28</x:v>
      </x:c>
      <x:c r="E13" s="15" t="n">
        <x:f>'Retrieval_Rohdaten'!M8</x:f>
        <x:v>0.4</x:v>
      </x:c>
      <x:c r="F13" s="15" t="n">
        <x:f>'Retrieval_Rohdaten'!N8</x:f>
        <x:v>0.34</x:v>
      </x:c>
      <x:c r="G13" s="15" t="n">
        <x:f>'Retrieval_Rohdaten'!O8</x:f>
        <x:v>0.3525004019945024</x:v>
      </x:c>
      <x:c r="H13" s="15" t="n">
        <x:f>'Retrieval_Rohdaten'!L8</x:f>
        <x:v>0.14666666666666667</x:v>
      </x:c>
    </x:row>
    <x:row r="14">
      <x:c r="A14" s="13" t="str">
        <x:v>BM25 + Expansion + Boost</x:v>
      </x:c>
      <x:c r="B14" s="13" t="str">
        <x:v>–</x:v>
      </x:c>
      <x:c r="C14" s="13" t="n">
        <x:f>'Retrieval_Rohdaten'!C9</x:f>
        <x:v>25</x:v>
      </x:c>
      <x:c r="D14" s="15" t="n">
        <x:f>'Retrieval_Rohdaten'!P9</x:f>
        <x:v>0.68</x:v>
      </x:c>
      <x:c r="E14" s="15" t="n">
        <x:f>'Retrieval_Rohdaten'!M9</x:f>
        <x:v>0.78</x:v>
      </x:c>
      <x:c r="F14" s="15" t="n">
        <x:f>'Retrieval_Rohdaten'!N9</x:f>
        <x:v>0.7333333333333333</x:v>
      </x:c>
      <x:c r="G14" s="15" t="n">
        <x:f>'Retrieval_Rohdaten'!O9</x:f>
        <x:v>0.7350002679963349</x:v>
      </x:c>
      <x:c r="H14" s="15" t="n">
        <x:f>'Retrieval_Rohdaten'!L9</x:f>
        <x:v>0.26666666666666655</x:v>
      </x:c>
    </x:row>
    <x:row r="15">
      <x:c r="A15" s="13" t="str">
        <x:v>Hybrid</x:v>
      </x:c>
      <x:c r="B15" s="13" t="n">
        <x:v>0.25</x:v>
      </x:c>
      <x:c r="C15" s="13" t="n">
        <x:f>'Retrieval_Rohdaten'!C10</x:f>
        <x:v>25</x:v>
      </x:c>
      <x:c r="D15" s="15" t="n">
        <x:f>'Retrieval_Rohdaten'!P10</x:f>
        <x:v>0.72</x:v>
      </x:c>
      <x:c r="E15" s="15" t="n">
        <x:f>'Retrieval_Rohdaten'!M10</x:f>
        <x:v>0.88</x:v>
      </x:c>
      <x:c r="F15" s="15" t="n">
        <x:f>'Retrieval_Rohdaten'!N10</x:f>
        <x:v>0.8133333333333332</x:v>
      </x:c>
      <x:c r="G15" s="15" t="n">
        <x:f>'Retrieval_Rohdaten'!O10</x:f>
        <x:v>0.8234486265732657</x:v>
      </x:c>
      <x:c r="H15" s="15" t="n">
        <x:f>'Retrieval_Rohdaten'!L10</x:f>
        <x:v>0.30666666666666653</x:v>
      </x:c>
    </x:row>
    <x:row r="16">
      <x:c r="A16" s="13" t="str">
        <x:v>Hybrid</x:v>
      </x:c>
      <x:c r="B16" s="13" t="n">
        <x:v>0.5</x:v>
      </x:c>
      <x:c r="C16" s="13" t="n">
        <x:f>'Retrieval_Rohdaten'!C11</x:f>
        <x:v>25</x:v>
      </x:c>
      <x:c r="D16" s="15" t="n">
        <x:f>'Retrieval_Rohdaten'!P11</x:f>
        <x:v>0.64</x:v>
      </x:c>
      <x:c r="E16" s="15" t="n">
        <x:f>'Retrieval_Rohdaten'!M11</x:f>
        <x:v>0.9</x:v>
      </x:c>
      <x:c r="F16" s="15" t="n">
        <x:f>'Retrieval_Rohdaten'!N11</x:f>
        <x:v>0.76</x:v>
      </x:c>
      <x:c r="G16" s="15" t="n">
        <x:f>'Retrieval_Rohdaten'!O11</x:f>
        <x:v>0.7957115704285749</x:v>
      </x:c>
      <x:c r="H16" s="15" t="n">
        <x:f>'Retrieval_Rohdaten'!L11</x:f>
        <x:v>0.3199999999999999</x:v>
      </x:c>
    </x:row>
    <x:row r="17">
      <x:c r="A17" s="13" t="str">
        <x:v>Hybrid</x:v>
      </x:c>
      <x:c r="B17" s="13" t="n">
        <x:v>0.75</x:v>
      </x:c>
      <x:c r="C17" s="13" t="n">
        <x:f>'Retrieval_Rohdaten'!C12</x:f>
        <x:v>25</x:v>
      </x:c>
      <x:c r="D17" s="15" t="n">
        <x:f>'Retrieval_Rohdaten'!P12</x:f>
        <x:v>0.32</x:v>
      </x:c>
      <x:c r="E17" s="15" t="n">
        <x:f>'Retrieval_Rohdaten'!M12</x:f>
        <x:v>0.64</x:v>
      </x:c>
      <x:c r="F17" s="15" t="n">
        <x:f>'Retrieval_Rohdaten'!N12</x:f>
        <x:v>0.4733333333333333</x:v>
      </x:c>
      <x:c r="G17" s="15" t="n">
        <x:f>'Retrieval_Rohdaten'!O12</x:f>
        <x:v>0.5191601970018407</x:v>
      </x:c>
      <x:c r="H17" s="15" t="n">
        <x:f>'Retrieval_Rohdaten'!L12</x:f>
        <x:v>0.22666666666666666</x:v>
      </x:c>
    </x:row>
    <x:row r="20" ht="24" customHeight="1">
      <x:c r="A20" s="75" t="str">
        <x:v>3 · Mehrsprachig, feldgenau (strict)</x:v>
      </x:c>
      <x:c r="B20" s="76" t="str">
        <x:v>3 · Mehrsprachig, feldgenau (strict)</x:v>
      </x:c>
      <x:c r="C20" s="76" t="str">
        <x:v>3 · Mehrsprachig, feldgenau (strict)</x:v>
      </x:c>
      <x:c r="D20" s="76" t="str">
        <x:v>3 · Mehrsprachig, feldgenau (strict)</x:v>
      </x:c>
      <x:c r="E20" s="76" t="str">
        <x:v>3 · Mehrsprachig, feldgenau (strict)</x:v>
      </x:c>
      <x:c r="F20" s="76" t="str">
        <x:v>3 · Mehrsprachig, feldgenau (strict)</x:v>
      </x:c>
      <x:c r="G20" s="76" t="str">
        <x:v>3 · Mehrsprachig, feldgenau (strict)</x:v>
      </x:c>
      <x:c r="H20" s="77" t="str">
        <x:v>3 · Mehrsprachig, feldgenau (strict)</x:v>
      </x:c>
    </x:row>
    <x:row r="21" ht="28" customHeight="1">
      <x:c r="A21" s="82" t="str">
        <x:v>Konfiguration</x:v>
      </x:c>
      <x:c r="B21" s="82" t="str">
        <x:v>α</x:v>
      </x:c>
      <x:c r="C21" s="82" t="str">
        <x:v>n</x:v>
      </x:c>
      <x:c r="D21" s="82" t="str">
        <x:v>Hit@1</x:v>
      </x:c>
      <x:c r="E21" s="82" t="str">
        <x:v>Recall@3</x:v>
      </x:c>
      <x:c r="F21" s="82" t="str">
        <x:v>MRR</x:v>
      </x:c>
      <x:c r="G21" s="82" t="str">
        <x:v>nDCG@3</x:v>
      </x:c>
      <x:c r="H21" s="82" t="str">
        <x:v>Precision@3</x:v>
      </x:c>
    </x:row>
    <x:row r="22">
      <x:c r="A22" s="13" t="str">
        <x:v>Dense</x:v>
      </x:c>
      <x:c r="B22" s="13" t="str">
        <x:v>–</x:v>
      </x:c>
      <x:c r="C22" s="13" t="n">
        <x:f>'Retrieval_Rohdaten'!C13</x:f>
        <x:v>18</x:v>
      </x:c>
      <x:c r="D22" s="15" t="n">
        <x:f>'Retrieval_Rohdaten'!P13</x:f>
        <x:v>0.2222222222222222</x:v>
      </x:c>
      <x:c r="E22" s="15" t="n">
        <x:f>'Retrieval_Rohdaten'!M13</x:f>
        <x:v>0.4444444444444444</x:v>
      </x:c>
      <x:c r="F22" s="15" t="n">
        <x:f>'Retrieval_Rohdaten'!N13</x:f>
        <x:v>0.31481481481481477</x:v>
      </x:c>
      <x:c r="G22" s="15" t="n">
        <x:f>'Retrieval_Rohdaten'!O13</x:f>
        <x:v>0.34788108373016197</x:v>
      </x:c>
      <x:c r="H22" s="15" t="n">
        <x:f>'Retrieval_Rohdaten'!L13</x:f>
        <x:v>0.14814814814814814</x:v>
      </x:c>
    </x:row>
    <x:row r="23">
      <x:c r="A23" s="13" t="str">
        <x:v>BM25 + Expansion + Boost</x:v>
      </x:c>
      <x:c r="B23" s="13" t="str">
        <x:v>–</x:v>
      </x:c>
      <x:c r="C23" s="13" t="n">
        <x:f>'Retrieval_Rohdaten'!C14</x:f>
        <x:v>18</x:v>
      </x:c>
      <x:c r="D23" s="15" t="n">
        <x:f>'Retrieval_Rohdaten'!P14</x:f>
        <x:v>0.6666666666666666</x:v>
      </x:c>
      <x:c r="E23" s="15" t="n">
        <x:f>'Retrieval_Rohdaten'!M14</x:f>
        <x:v>0.9444444444444444</x:v>
      </x:c>
      <x:c r="F23" s="15" t="n">
        <x:f>'Retrieval_Rohdaten'!N14</x:f>
        <x:v>0.7777777777777779</x:v>
      </x:c>
      <x:c r="G23" s="15" t="n">
        <x:f>'Retrieval_Rohdaten'!O14</x:f>
        <x:v>0.8201033059523842</x:v>
      </x:c>
      <x:c r="H23" s="15" t="n">
        <x:f>'Retrieval_Rohdaten'!L14</x:f>
        <x:v>0.3148148148148147</x:v>
      </x:c>
    </x:row>
    <x:row r="24">
      <x:c r="A24" s="13" t="str">
        <x:v>Hybrid</x:v>
      </x:c>
      <x:c r="B24" s="13" t="n">
        <x:v>0.25</x:v>
      </x:c>
      <x:c r="C24" s="13" t="n">
        <x:f>'Retrieval_Rohdaten'!C15</x:f>
        <x:v>18</x:v>
      </x:c>
      <x:c r="D24" s="15" t="n">
        <x:f>'Retrieval_Rohdaten'!P15</x:f>
        <x:v>0.8333333333333334</x:v>
      </x:c>
      <x:c r="E24" s="15" t="n">
        <x:f>'Retrieval_Rohdaten'!M15</x:f>
        <x:v>1</x:v>
      </x:c>
      <x:c r="F24" s="15" t="n">
        <x:f>'Retrieval_Rohdaten'!N15</x:f>
        <x:v>0.898148148148148</x:v>
      </x:c>
      <x:c r="G24" s="15" t="n">
        <x:f>'Retrieval_Rohdaten'!O15</x:f>
        <x:v>0.923940541865081</x:v>
      </x:c>
      <x:c r="H24" s="15" t="n">
        <x:f>'Retrieval_Rohdaten'!L15</x:f>
        <x:v>0.33333333333333326</x:v>
      </x:c>
    </x:row>
    <x:row r="25">
      <x:c r="A25" s="13" t="str">
        <x:v>Hybrid</x:v>
      </x:c>
      <x:c r="B25" s="13" t="n">
        <x:v>0.5</x:v>
      </x:c>
      <x:c r="C25" s="13" t="n">
        <x:f>'Retrieval_Rohdaten'!C16</x:f>
        <x:v>18</x:v>
      </x:c>
      <x:c r="D25" s="15" t="n">
        <x:f>'Retrieval_Rohdaten'!P16</x:f>
        <x:v>0.8333333333333334</x:v>
      </x:c>
      <x:c r="E25" s="15" t="n">
        <x:f>'Retrieval_Rohdaten'!M16</x:f>
        <x:v>0.9444444444444444</x:v>
      </x:c>
      <x:c r="F25" s="15" t="n">
        <x:f>'Retrieval_Rohdaten'!N16</x:f>
        <x:v>0.8888888888888888</x:v>
      </x:c>
      <x:c r="G25" s="15" t="n">
        <x:f>'Retrieval_Rohdaten'!O16</x:f>
        <x:v>0.9034366392857175</x:v>
      </x:c>
      <x:c r="H25" s="15" t="n">
        <x:f>'Retrieval_Rohdaten'!L16</x:f>
        <x:v>0.3148148148148147</x:v>
      </x:c>
    </x:row>
    <x:row r="26">
      <x:c r="A26" s="13" t="str">
        <x:v>Hybrid</x:v>
      </x:c>
      <x:c r="B26" s="13" t="n">
        <x:v>0.75</x:v>
      </x:c>
      <x:c r="C26" s="13" t="n">
        <x:f>'Retrieval_Rohdaten'!C17</x:f>
        <x:v>18</x:v>
      </x:c>
      <x:c r="D26" s="15" t="n">
        <x:f>'Retrieval_Rohdaten'!P17</x:f>
        <x:v>0.2777777777777778</x:v>
      </x:c>
      <x:c r="E26" s="15" t="n">
        <x:f>'Retrieval_Rohdaten'!M17</x:f>
        <x:v>0.7777777777777778</x:v>
      </x:c>
      <x:c r="F26" s="15" t="n">
        <x:f>'Retrieval_Rohdaten'!N17</x:f>
        <x:v>0.5185185185185185</x:v>
      </x:c>
      <x:c r="G26" s="15" t="n">
        <x:f>'Retrieval_Rohdaten'!O17</x:f>
        <x:v>0.5859687793650923</x:v>
      </x:c>
      <x:c r="H26" s="15" t="n">
        <x:f>'Retrieval_Rohdaten'!L17</x:f>
        <x:v>0.25925925925925924</x:v>
      </x:c>
    </x:row>
    <x:row r="29" ht="24" customHeight="1">
      <x:c r="A29" s="75" t="str">
        <x:v>4 · BM25-Ablation, Deutsch strict</x:v>
      </x:c>
      <x:c r="B29" s="76" t="str">
        <x:v>4 · BM25-Ablation, Deutsch strict</x:v>
      </x:c>
      <x:c r="C29" s="76" t="str">
        <x:v>4 · BM25-Ablation, Deutsch strict</x:v>
      </x:c>
      <x:c r="D29" s="76" t="str">
        <x:v>4 · BM25-Ablation, Deutsch strict</x:v>
      </x:c>
      <x:c r="E29" s="76" t="str">
        <x:v>4 · BM25-Ablation, Deutsch strict</x:v>
      </x:c>
      <x:c r="F29" s="76" t="str">
        <x:v>4 · BM25-Ablation, Deutsch strict</x:v>
      </x:c>
      <x:c r="G29" s="76" t="str">
        <x:v>4 · BM25-Ablation, Deutsch strict</x:v>
      </x:c>
      <x:c r="H29" s="77" t="str">
        <x:v>4 · BM25-Ablation, Deutsch strict</x:v>
      </x:c>
    </x:row>
    <x:row r="30" ht="28" customHeight="1">
      <x:c r="A30" s="87" t="str">
        <x:v>Konfiguration</x:v>
      </x:c>
      <x:c r="B30" s="87" t="str">
        <x:v>α</x:v>
      </x:c>
      <x:c r="C30" s="87" t="str">
        <x:v>n</x:v>
      </x:c>
      <x:c r="D30" s="87" t="str">
        <x:v>Hit@1</x:v>
      </x:c>
      <x:c r="E30" s="87" t="str">
        <x:v>Recall@3</x:v>
      </x:c>
      <x:c r="F30" s="87" t="str">
        <x:v>MRR</x:v>
      </x:c>
      <x:c r="G30" s="87" t="str">
        <x:v>nDCG@3</x:v>
      </x:c>
      <x:c r="H30" s="87" t="str">
        <x:v>Precision@3</x:v>
      </x:c>
    </x:row>
    <x:row r="31">
      <x:c r="A31" s="13" t="str">
        <x:v>ohne Expansion / ohne Boost</x:v>
      </x:c>
      <x:c r="B31" s="13" t="str">
        <x:v>–</x:v>
      </x:c>
      <x:c r="C31" s="13" t="n">
        <x:f>'Retrieval_Rohdaten'!C5</x:f>
        <x:v>25</x:v>
      </x:c>
      <x:c r="D31" s="15" t="n">
        <x:f>'Retrieval_Rohdaten'!P5</x:f>
        <x:v>0.28</x:v>
      </x:c>
      <x:c r="E31" s="15" t="n">
        <x:f>'Retrieval_Rohdaten'!M5</x:f>
        <x:v>0.28</x:v>
      </x:c>
      <x:c r="F31" s="15" t="n">
        <x:f>'Retrieval_Rohdaten'!N5</x:f>
        <x:v>0.3</x:v>
      </x:c>
      <x:c r="G31" s="15" t="n">
        <x:f>'Retrieval_Rohdaten'!O5</x:f>
        <x:v>0.274288965564095</x:v>
      </x:c>
      <x:c r="H31" s="15" t="n">
        <x:f>'Retrieval_Rohdaten'!L5</x:f>
        <x:v>0.10666666666666666</x:v>
      </x:c>
    </x:row>
    <x:row r="32">
      <x:c r="A32" s="13" t="str">
        <x:v>mit Expansion / ohne Boost</x:v>
      </x:c>
      <x:c r="B32" s="13" t="str">
        <x:v>–</x:v>
      </x:c>
      <x:c r="C32" s="13" t="n">
        <x:f>'Retrieval_Rohdaten'!C6</x:f>
        <x:v>25</x:v>
      </x:c>
      <x:c r="D32" s="15" t="n">
        <x:f>'Retrieval_Rohdaten'!P6</x:f>
        <x:v>0.56</x:v>
      </x:c>
      <x:c r="E32" s="15" t="n">
        <x:f>'Retrieval_Rohdaten'!M6</x:f>
        <x:v>0.8</x:v>
      </x:c>
      <x:c r="F32" s="15" t="n">
        <x:f>'Retrieval_Rohdaten'!N6</x:f>
        <x:v>0.6866666666666668</x:v>
      </x:c>
      <x:c r="G32" s="15" t="n">
        <x:f>'Retrieval_Rohdaten'!O6</x:f>
        <x:v>0.7009487605714333</x:v>
      </x:c>
      <x:c r="H32" s="15" t="n">
        <x:f>'Retrieval_Rohdaten'!L6</x:f>
        <x:v>0.2799999999999999</x:v>
      </x:c>
    </x:row>
    <x:row r="33">
      <x:c r="A33" s="13" t="str">
        <x:v>mit Expansion / mit Boost</x:v>
      </x:c>
      <x:c r="B33" s="13" t="str">
        <x:v>–</x:v>
      </x:c>
      <x:c r="C33" s="13" t="n">
        <x:f>'Retrieval_Rohdaten'!C7</x:f>
        <x:v>25</x:v>
      </x:c>
      <x:c r="D33" s="15" t="n">
        <x:f>'Retrieval_Rohdaten'!P7</x:f>
        <x:v>0.68</x:v>
      </x:c>
      <x:c r="E33" s="15" t="n">
        <x:f>'Retrieval_Rohdaten'!M7</x:f>
        <x:v>0.78</x:v>
      </x:c>
      <x:c r="F33" s="15" t="n">
        <x:f>'Retrieval_Rohdaten'!N7</x:f>
        <x:v>0.7333333333333333</x:v>
      </x:c>
      <x:c r="G33" s="15" t="n">
        <x:f>'Retrieval_Rohdaten'!O7</x:f>
        <x:v>0.7350002679963349</x:v>
      </x:c>
      <x:c r="H33" s="15" t="n">
        <x:f>'Retrieval_Rohdaten'!L7</x:f>
        <x:v>0.26666666666666655</x:v>
      </x:c>
    </x:row>
    <x:row r="35" ht="28" customHeight="1">
      <x:c r="J35" s="56" t="str">
        <x:v>Retriever</x:v>
      </x:c>
      <x:c r="K35" s="56" t="str">
        <x:v>Hit@1</x:v>
      </x:c>
      <x:c r="L35" s="56" t="str">
        <x:v>Recall@3</x:v>
      </x:c>
      <x:c r="N35" s="82" t="str">
        <x:v>Retriever</x:v>
      </x:c>
      <x:c r="O35" s="82" t="str">
        <x:v>Hit@1</x:v>
      </x:c>
      <x:c r="P35" s="82" t="str">
        <x:v>Recall@3</x:v>
      </x:c>
    </x:row>
    <x:row r="36" ht="24" customHeight="1">
      <x:c r="A36" s="75" t="str">
        <x:v>5 · Korpus-Robustheit (CL-BSc-Fragen)</x:v>
      </x:c>
      <x:c r="B36" s="76" t="str">
        <x:v>5 · Korpus-Robustheit (CL-BSc-Fragen)</x:v>
      </x:c>
      <x:c r="C36" s="76" t="str">
        <x:v>5 · Korpus-Robustheit (CL-BSc-Fragen)</x:v>
      </x:c>
      <x:c r="D36" s="76" t="str">
        <x:v>5 · Korpus-Robustheit (CL-BSc-Fragen)</x:v>
      </x:c>
      <x:c r="E36" s="76" t="str">
        <x:v>5 · Korpus-Robustheit (CL-BSc-Fragen)</x:v>
      </x:c>
      <x:c r="F36" s="76" t="str">
        <x:v>5 · Korpus-Robustheit (CL-BSc-Fragen)</x:v>
      </x:c>
      <x:c r="G36" s="76" t="str">
        <x:v>5 · Korpus-Robustheit (CL-BSc-Fragen)</x:v>
      </x:c>
      <x:c r="H36" s="77" t="str">
        <x:v>5 · Korpus-Robustheit (CL-BSc-Fragen)</x:v>
      </x:c>
      <x:c r="J36" s="13" t="str">
        <x:v>Dense</x:v>
      </x:c>
      <x:c r="K36" s="15" t="n">
        <x:f>D13</x:f>
        <x:v>0.28</x:v>
      </x:c>
      <x:c r="L36" s="15" t="n">
        <x:f>E13</x:f>
        <x:v>0.4</x:v>
      </x:c>
      <x:c r="N36" s="13" t="str">
        <x:v>Dense</x:v>
      </x:c>
      <x:c r="O36" s="15" t="n">
        <x:f>D22</x:f>
        <x:v>0.2222222222222222</x:v>
      </x:c>
      <x:c r="P36" s="15" t="n">
        <x:f>E22</x:f>
        <x:v>0.4444444444444444</x:v>
      </x:c>
    </x:row>
    <x:row r="37" ht="28" customHeight="1">
      <x:c r="A37" s="6" t="str">
        <x:v>Konfiguration</x:v>
      </x:c>
      <x:c r="B37" s="6" t="str">
        <x:v>α</x:v>
      </x:c>
      <x:c r="C37" s="6" t="str">
        <x:v>n</x:v>
      </x:c>
      <x:c r="D37" s="6" t="str">
        <x:v>Hit@1</x:v>
      </x:c>
      <x:c r="E37" s="6" t="str">
        <x:v>Recall@3</x:v>
      </x:c>
      <x:c r="F37" s="6" t="str">
        <x:v>MRR</x:v>
      </x:c>
      <x:c r="G37" s="6" t="str">
        <x:v>nDCG@3</x:v>
      </x:c>
      <x:c r="H37" s="6" t="str">
        <x:v>Precision@3</x:v>
      </x:c>
      <x:c r="J37" s="13" t="str">
        <x:v>BM25</x:v>
      </x:c>
      <x:c r="K37" s="15" t="n">
        <x:f>D14</x:f>
        <x:v>0.68</x:v>
      </x:c>
      <x:c r="L37" s="15" t="n">
        <x:f>E14</x:f>
        <x:v>0.78</x:v>
      </x:c>
      <x:c r="N37" s="13" t="str">
        <x:v>BM25</x:v>
      </x:c>
      <x:c r="O37" s="15" t="n">
        <x:f>D23</x:f>
        <x:v>0.6666666666666666</x:v>
      </x:c>
      <x:c r="P37" s="15" t="n">
        <x:f>E23</x:f>
        <x:v>0.9444444444444444</x:v>
      </x:c>
    </x:row>
    <x:row r="38">
      <x:c r="A38" s="13" t="str">
        <x:v>4 Dokumente · kuratiert</x:v>
      </x:c>
      <x:c r="B38" s="13" t="str">
        <x:v>–</x:v>
      </x:c>
      <x:c r="C38" s="13" t="n">
        <x:f>'Retrieval_Rohdaten'!C18</x:f>
        <x:v>25</x:v>
      </x:c>
      <x:c r="D38" s="15" t="n">
        <x:f>'Retrieval_Rohdaten'!P18</x:f>
        <x:v>0.6</x:v>
      </x:c>
      <x:c r="E38" s="15" t="n">
        <x:f>'Retrieval_Rohdaten'!M18</x:f>
        <x:v>0.7</x:v>
      </x:c>
      <x:c r="F38" s="15" t="n">
        <x:f>'Retrieval_Rohdaten'!N18</x:f>
        <x:v>0.6533333333333334</x:v>
      </x:c>
      <x:c r="G38" s="15" t="n">
        <x:f>'Retrieval_Rohdaten'!O18</x:f>
        <x:v>0.655000267996335</x:v>
      </x:c>
      <x:c r="H38" s="15" t="n">
        <x:f>'Retrieval_Rohdaten'!L18</x:f>
        <x:v>0.23999999999999994</x:v>
      </x:c>
      <x:c r="J38" s="13" t="str">
        <x:v>Hybrid 0,25</x:v>
      </x:c>
      <x:c r="K38" s="15" t="n">
        <x:f>D15</x:f>
        <x:v>0.72</x:v>
      </x:c>
      <x:c r="L38" s="15" t="n">
        <x:f>E15</x:f>
        <x:v>0.88</x:v>
      </x:c>
      <x:c r="N38" s="13" t="str">
        <x:v>Hybrid 0,25</x:v>
      </x:c>
      <x:c r="O38" s="15" t="n">
        <x:f>D24</x:f>
        <x:v>0.8333333333333334</x:v>
      </x:c>
      <x:c r="P38" s="15" t="n">
        <x:f>E24</x:f>
        <x:v>1</x:v>
      </x:c>
    </x:row>
    <x:row r="39">
      <x:c r="A39" s="13" t="str">
        <x:v>7 PDFs · Varianten-Stress</x:v>
      </x:c>
      <x:c r="B39" s="13" t="str">
        <x:v>–</x:v>
      </x:c>
      <x:c r="C39" s="13" t="n">
        <x:f>'Retrieval_Rohdaten'!C19</x:f>
        <x:v>25</x:v>
      </x:c>
      <x:c r="D39" s="15" t="n">
        <x:f>'Retrieval_Rohdaten'!P19</x:f>
        <x:v>0.56</x:v>
      </x:c>
      <x:c r="E39" s="15" t="n">
        <x:f>'Retrieval_Rohdaten'!M19</x:f>
        <x:v>0.74</x:v>
      </x:c>
      <x:c r="F39" s="15" t="n">
        <x:f>'Retrieval_Rohdaten'!N19</x:f>
        <x:v>0.6533333333333334</x:v>
      </x:c>
      <x:c r="G39" s="15" t="n">
        <x:f>'Retrieval_Rohdaten'!O19</x:f>
        <x:v>0.6654746482820515</x:v>
      </x:c>
      <x:c r="H39" s="15" t="n">
        <x:f>'Retrieval_Rohdaten'!L19</x:f>
        <x:v>0.25333333333333324</x:v>
      </x:c>
      <x:c r="J39" s="13" t="str">
        <x:v>Hybrid 0,50</x:v>
      </x:c>
      <x:c r="K39" s="15" t="n">
        <x:f>D16</x:f>
        <x:v>0.64</x:v>
      </x:c>
      <x:c r="L39" s="15" t="n">
        <x:f>E16</x:f>
        <x:v>0.9</x:v>
      </x:c>
      <x:c r="N39" s="13" t="str">
        <x:v>Hybrid 0,50</x:v>
      </x:c>
      <x:c r="O39" s="15" t="n">
        <x:f>D25</x:f>
        <x:v>0.8333333333333334</x:v>
      </x:c>
      <x:c r="P39" s="15" t="n">
        <x:f>E25</x:f>
        <x:v>0.9444444444444444</x:v>
      </x:c>
    </x:row>
    <x:row r="40">
      <x:c r="A40" s="97" t="str">
        <x:v>Interpretation: Module-Chunking beantwortet die Navigationsfrage. Field-Chunks beantworten die feldgenaue Evidenzfrage. α=0,25 liefert die beste Rangqualität; α=0,50 den höchsten deutschen Recall@3. Bei n=25 entspricht eine Frage 0,040, bei n=18 eine Frage 0,056.</x:v>
      </x:c>
      <x:c r="B40" s="98"/>
      <x:c r="C40" s="98"/>
      <x:c r="D40" s="98"/>
      <x:c r="E40" s="98"/>
      <x:c r="F40" s="98"/>
      <x:c r="G40" s="98"/>
      <x:c r="H40" s="99"/>
      <x:c r="J40" s="13" t="str">
        <x:v>Hybrid 0,75</x:v>
      </x:c>
      <x:c r="K40" s="15" t="n">
        <x:f>D17</x:f>
        <x:v>0.32</x:v>
      </x:c>
      <x:c r="L40" s="15" t="n">
        <x:f>E17</x:f>
        <x:v>0.64</x:v>
      </x:c>
      <x:c r="N40" s="13" t="str">
        <x:v>Hybrid 0,75</x:v>
      </x:c>
      <x:c r="O40" s="15" t="n">
        <x:f>D26</x:f>
        <x:v>0.2777777777777778</x:v>
      </x:c>
      <x:c r="P40" s="15" t="n">
        <x:f>E26</x:f>
        <x:v>0.7777777777777778</x:v>
      </x:c>
    </x:row>
    <x:row r="41">
      <x:c r="A41" s="100"/>
      <x:c r="B41" s="101"/>
      <x:c r="C41" s="101"/>
      <x:c r="D41" s="101"/>
      <x:c r="E41" s="101"/>
      <x:c r="F41" s="101"/>
      <x:c r="G41" s="101"/>
      <x:c r="H41" s="102"/>
    </x:row>
    <x:row r="42">
      <x:c r="A42" s="103"/>
      <x:c r="B42" s="104"/>
      <x:c r="C42" s="104"/>
      <x:c r="D42" s="104"/>
      <x:c r="E42" s="104"/>
      <x:c r="F42" s="104"/>
      <x:c r="G42" s="104"/>
      <x:c r="H42" s="105"/>
    </x:row>
  </x:sheetData>
  <x:mergeCells>
    <x:mergeCell ref="A1:P1"/>
    <x:mergeCell ref="A2:P2"/>
    <x:mergeCell ref="A4:H4"/>
    <x:mergeCell ref="A11:H11"/>
    <x:mergeCell ref="A20:H20"/>
    <x:mergeCell ref="A29:H29"/>
    <x:mergeCell ref="A36:H36"/>
    <x:mergeCell ref="A40:H42"/>
  </x:mergeCells>
  <x:pageMargins left="0.7" right="0.7" top="0.75" bottom="0.75" header="0.3" footer="0.3"/>
  <x:drawing xmlns:r="http://schemas.openxmlformats.org/officeDocument/2006/relationships" r:id="R91190b72d709447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4" max="4" width="42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4" customHeight="1">
      <x:c r="A1" s="17" t="str">
        <x:v>Fehleranalyse</x:v>
      </x:c>
      <x:c r="B1" s="17" t="str">
        <x:v>Fehleranalyse</x:v>
      </x:c>
      <x:c r="C1" s="17" t="str">
        <x:v>Fehleranalyse</x:v>
      </x:c>
      <x:c r="D1" s="17" t="str">
        <x:v>Fehleranalyse</x:v>
      </x:c>
      <x:c r="E1" s="17" t="str">
        <x:v>Fehleranalyse</x:v>
      </x:c>
      <x:c r="F1" s="17" t="str">
        <x:v>Fehleranalyse</x:v>
      </x:c>
      <x:c r="G1" s="17" t="str">
        <x:v>Fehleranalyse</x:v>
      </x:c>
      <x:c r="H1" s="17" t="str">
        <x:v>Fehleranalyse</x:v>
      </x:c>
      <x:c r="I1" s="17" t="str">
        <x:v>Fehleranalyse</x:v>
      </x:c>
      <x:c r="J1" s="17" t="str">
        <x:v>Fehleranalyse</x:v>
      </x:c>
      <x:c r="K1" s="17" t="str">
        <x:v>Fehleranalyse</x:v>
      </x:c>
    </x:row>
    <x:row r="2" ht="22" customHeight="1">
      <x:c r="A2" s="19" t="str">
        <x:v>Per-Query-Metriken verwenden exakt dieselben Gold- und Ranking-Einheiten wie die Aggregation.</x:v>
      </x:c>
      <x:c r="B2" s="19" t="str">
        <x:v>Per-Query-Metriken verwenden exakt dieselben Gold- und Ranking-Einheiten wie die Aggregation.</x:v>
      </x:c>
      <x:c r="C2" s="19" t="str">
        <x:v>Per-Query-Metriken verwenden exakt dieselben Gold- und Ranking-Einheiten wie die Aggregation.</x:v>
      </x:c>
      <x:c r="D2" s="19" t="str">
        <x:v>Per-Query-Metriken verwenden exakt dieselben Gold- und Ranking-Einheiten wie die Aggregation.</x:v>
      </x:c>
      <x:c r="E2" s="19" t="str">
        <x:v>Per-Query-Metriken verwenden exakt dieselben Gold- und Ranking-Einheiten wie die Aggregation.</x:v>
      </x:c>
      <x:c r="F2" s="19" t="str">
        <x:v>Per-Query-Metriken verwenden exakt dieselben Gold- und Ranking-Einheiten wie die Aggregation.</x:v>
      </x:c>
      <x:c r="G2" s="19" t="str">
        <x:v>Per-Query-Metriken verwenden exakt dieselben Gold- und Ranking-Einheiten wie die Aggregation.</x:v>
      </x:c>
      <x:c r="H2" s="19" t="str">
        <x:v>Per-Query-Metriken verwenden exakt dieselben Gold- und Ranking-Einheiten wie die Aggregation.</x:v>
      </x:c>
      <x:c r="I2" s="19" t="str">
        <x:v>Per-Query-Metriken verwenden exakt dieselben Gold- und Ranking-Einheiten wie die Aggregation.</x:v>
      </x:c>
      <x:c r="J2" s="19" t="str">
        <x:v>Per-Query-Metriken verwenden exakt dieselben Gold- und Ranking-Einheiten wie die Aggregation.</x:v>
      </x:c>
      <x:c r="K2" s="19" t="str">
        <x:v>Per-Query-Metriken verwenden exakt dieselben Gold- und Ranking-Einheiten wie die Aggregation.</x:v>
      </x:c>
    </x:row>
    <x:row r="4" ht="24" customHeight="1">
      <x:c r="A4" s="75" t="str">
        <x:v>Systemübersicht</x:v>
      </x:c>
      <x:c r="B4" s="76" t="str">
        <x:v>Systemübersicht</x:v>
      </x:c>
      <x:c r="C4" s="76" t="str">
        <x:v>Systemübersicht</x:v>
      </x:c>
      <x:c r="D4" s="76" t="str">
        <x:v>Systemübersicht</x:v>
      </x:c>
      <x:c r="E4" s="76" t="str">
        <x:v>Systemübersicht</x:v>
      </x:c>
      <x:c r="F4" s="76" t="str">
        <x:v>Systemübersicht</x:v>
      </x:c>
      <x:c r="G4" s="76" t="str">
        <x:v>Systemübersicht</x:v>
      </x:c>
      <x:c r="H4" s="76" t="str">
        <x:v>Systemübersicht</x:v>
      </x:c>
      <x:c r="I4" s="76" t="str">
        <x:v>Systemübersicht</x:v>
      </x:c>
      <x:c r="J4" s="76" t="str">
        <x:v>Systemübersicht</x:v>
      </x:c>
      <x:c r="K4" s="77" t="str">
        <x:v>Systemübersicht</x:v>
      </x:c>
    </x:row>
    <x:row r="5" ht="28" customHeight="1">
      <x:c r="A5" s="6" t="str">
        <x:v>Query-Set</x:v>
      </x:c>
      <x:c r="B5" s="6" t="str">
        <x:v>System</x:v>
      </x:c>
      <x:c r="C5" s="6" t="str">
        <x:v>n</x:v>
      </x:c>
      <x:c r="D5" s="6" t="str">
        <x:v>vollständig</x:v>
      </x:c>
      <x:c r="E5" s="6" t="str">
        <x:v>Hit@1</x:v>
      </x:c>
      <x:c r="F5" s="6" t="str">
        <x:v>Recall@3</x:v>
      </x:c>
      <x:c r="G5" s="6" t="str">
        <x:v>MRR</x:v>
      </x:c>
      <x:c r="H5" s="6" t="str">
        <x:v>nDCG@3</x:v>
      </x:c>
    </x:row>
    <x:row r="6">
      <x:c r="A6" s="13" t="str">
        <x:v>Deutsch n=25</x:v>
      </x:c>
      <x:c r="B6" s="13" t="str">
        <x:v>BM25_domain</x:v>
      </x:c>
      <x:c r="C6" s="13" t="n">
        <x:f>COUNTIFS(PerQuery_Rohdaten!$A$2:$A$173,$A6,PerQuery_Rohdaten!$B$2:$B$173,$B6)</x:f>
        <x:v>25</x:v>
      </x:c>
      <x:c r="D6" s="13" t="n">
        <x:f>COUNTIFS(PerQuery_Rohdaten!$A$2:$A$173,$A6,PerQuery_Rohdaten!$B$2:$B$173,$B6,PerQuery_Rohdaten!$W$2:$W$173,"vollständig")</x:f>
        <x:v>19</x:v>
      </x:c>
      <x:c r="E6" s="15" t="n">
        <x:f>SUMIFS(PerQuery_Rohdaten!$V$2:$V$173,PerQuery_Rohdaten!$A$2:$A$173,$A6,PerQuery_Rohdaten!$B$2:$B$173,$B6)/C6</x:f>
        <x:v>0.68</x:v>
      </x:c>
      <x:c r="F6" s="15" t="n">
        <x:f>SUMIFS(PerQuery_Rohdaten!$S$2:$S$173,PerQuery_Rohdaten!$A$2:$A$173,$A6,PerQuery_Rohdaten!$B$2:$B$173,$B6)/C6</x:f>
        <x:v>0.78</x:v>
      </x:c>
      <x:c r="G6" s="15" t="n">
        <x:f>SUMIFS(PerQuery_Rohdaten!$T$2:$T$173,PerQuery_Rohdaten!$A$2:$A$173,$A6,PerQuery_Rohdaten!$B$2:$B$173,$B6)/C6</x:f>
        <x:v>0.7333333333333333</x:v>
      </x:c>
      <x:c r="H6" s="15" t="n">
        <x:f>SUMIFS(PerQuery_Rohdaten!$U$2:$U$173,PerQuery_Rohdaten!$A$2:$A$173,$A6,PerQuery_Rohdaten!$B$2:$B$173,$B6)/C6</x:f>
        <x:v>0.7350002679963349</x:v>
      </x:c>
    </x:row>
    <x:row r="7">
      <x:c r="A7" s="13" t="str">
        <x:v>Deutsch n=25</x:v>
      </x:c>
      <x:c r="B7" s="13" t="str">
        <x:v>Dense</x:v>
      </x:c>
      <x:c r="C7" s="13" t="n">
        <x:f>COUNTIFS(PerQuery_Rohdaten!$A$2:$A$173,$A7,PerQuery_Rohdaten!$B$2:$B$173,$B7)</x:f>
        <x:v>25</x:v>
      </x:c>
      <x:c r="D7" s="13" t="n">
        <x:f>COUNTIFS(PerQuery_Rohdaten!$A$2:$A$173,$A7,PerQuery_Rohdaten!$B$2:$B$173,$B7,PerQuery_Rohdaten!$W$2:$W$173,"vollständig")</x:f>
        <x:v>10</x:v>
      </x:c>
      <x:c r="E7" s="15" t="n">
        <x:f>SUMIFS(PerQuery_Rohdaten!$V$2:$V$173,PerQuery_Rohdaten!$A$2:$A$173,$A7,PerQuery_Rohdaten!$B$2:$B$173,$B7)/C7</x:f>
        <x:v>0.28</x:v>
      </x:c>
      <x:c r="F7" s="15" t="n">
        <x:f>SUMIFS(PerQuery_Rohdaten!$S$2:$S$173,PerQuery_Rohdaten!$A$2:$A$173,$A7,PerQuery_Rohdaten!$B$2:$B$173,$B7)/C7</x:f>
        <x:v>0.4</x:v>
      </x:c>
      <x:c r="G7" s="15" t="n">
        <x:f>SUMIFS(PerQuery_Rohdaten!$T$2:$T$173,PerQuery_Rohdaten!$A$2:$A$173,$A7,PerQuery_Rohdaten!$B$2:$B$173,$B7)/C7</x:f>
        <x:v>0.34</x:v>
      </x:c>
      <x:c r="H7" s="15" t="n">
        <x:f>SUMIFS(PerQuery_Rohdaten!$U$2:$U$173,PerQuery_Rohdaten!$A$2:$A$173,$A7,PerQuery_Rohdaten!$B$2:$B$173,$B7)/C7</x:f>
        <x:v>0.3525004019945024</x:v>
      </x:c>
    </x:row>
    <x:row r="8">
      <x:c r="A8" s="13" t="str">
        <x:v>Deutsch n=25</x:v>
      </x:c>
      <x:c r="B8" s="13" t="str">
        <x:v>Hybrid_alpha_0.25</x:v>
      </x:c>
      <x:c r="C8" s="13" t="n">
        <x:f>COUNTIFS(PerQuery_Rohdaten!$A$2:$A$173,$A8,PerQuery_Rohdaten!$B$2:$B$173,$B8)</x:f>
        <x:v>25</x:v>
      </x:c>
      <x:c r="D8" s="13" t="n">
        <x:f>COUNTIFS(PerQuery_Rohdaten!$A$2:$A$173,$A8,PerQuery_Rohdaten!$B$2:$B$173,$B8,PerQuery_Rohdaten!$W$2:$W$173,"vollständig")</x:f>
        <x:v>21</x:v>
      </x:c>
      <x:c r="E8" s="15" t="n">
        <x:f>SUMIFS(PerQuery_Rohdaten!$V$2:$V$173,PerQuery_Rohdaten!$A$2:$A$173,$A8,PerQuery_Rohdaten!$B$2:$B$173,$B8)/C8</x:f>
        <x:v>0.72</x:v>
      </x:c>
      <x:c r="F8" s="15" t="n">
        <x:f>SUMIFS(PerQuery_Rohdaten!$S$2:$S$173,PerQuery_Rohdaten!$A$2:$A$173,$A8,PerQuery_Rohdaten!$B$2:$B$173,$B8)/C8</x:f>
        <x:v>0.88</x:v>
      </x:c>
      <x:c r="G8" s="15" t="n">
        <x:f>SUMIFS(PerQuery_Rohdaten!$T$2:$T$173,PerQuery_Rohdaten!$A$2:$A$173,$A8,PerQuery_Rohdaten!$B$2:$B$173,$B8)/C8</x:f>
        <x:v>0.8133333333333332</x:v>
      </x:c>
      <x:c r="H8" s="15" t="n">
        <x:f>SUMIFS(PerQuery_Rohdaten!$U$2:$U$173,PerQuery_Rohdaten!$A$2:$A$173,$A8,PerQuery_Rohdaten!$B$2:$B$173,$B8)/C8</x:f>
        <x:v>0.8234486265732657</x:v>
      </x:c>
    </x:row>
    <x:row r="9">
      <x:c r="A9" s="13" t="str">
        <x:v>Deutsch n=25</x:v>
      </x:c>
      <x:c r="B9" s="13" t="str">
        <x:v>Hybrid_alpha_0.50</x:v>
      </x:c>
      <x:c r="C9" s="13" t="n">
        <x:f>COUNTIFS(PerQuery_Rohdaten!$A$2:$A$173,$A9,PerQuery_Rohdaten!$B$2:$B$173,$B9)</x:f>
        <x:v>25</x:v>
      </x:c>
      <x:c r="D9" s="13" t="n">
        <x:f>COUNTIFS(PerQuery_Rohdaten!$A$2:$A$173,$A9,PerQuery_Rohdaten!$B$2:$B$173,$B9,PerQuery_Rohdaten!$W$2:$W$173,"vollständig")</x:f>
        <x:v>22</x:v>
      </x:c>
      <x:c r="E9" s="15" t="n">
        <x:f>SUMIFS(PerQuery_Rohdaten!$V$2:$V$173,PerQuery_Rohdaten!$A$2:$A$173,$A9,PerQuery_Rohdaten!$B$2:$B$173,$B9)/C9</x:f>
        <x:v>0.64</x:v>
      </x:c>
      <x:c r="F9" s="15" t="n">
        <x:f>SUMIFS(PerQuery_Rohdaten!$S$2:$S$173,PerQuery_Rohdaten!$A$2:$A$173,$A9,PerQuery_Rohdaten!$B$2:$B$173,$B9)/C9</x:f>
        <x:v>0.9</x:v>
      </x:c>
      <x:c r="G9" s="15" t="n">
        <x:f>SUMIFS(PerQuery_Rohdaten!$T$2:$T$173,PerQuery_Rohdaten!$A$2:$A$173,$A9,PerQuery_Rohdaten!$B$2:$B$173,$B9)/C9</x:f>
        <x:v>0.76</x:v>
      </x:c>
      <x:c r="H9" s="15" t="n">
        <x:f>SUMIFS(PerQuery_Rohdaten!$U$2:$U$173,PerQuery_Rohdaten!$A$2:$A$173,$A9,PerQuery_Rohdaten!$B$2:$B$173,$B9)/C9</x:f>
        <x:v>0.7957115704285749</x:v>
      </x:c>
    </x:row>
    <x:row r="10">
      <x:c r="A10" s="13" t="str">
        <x:v>Mehrsprachig n=18</x:v>
      </x:c>
      <x:c r="B10" s="13" t="str">
        <x:v>BM25_domain</x:v>
      </x:c>
      <x:c r="C10" s="13" t="n">
        <x:f>COUNTIFS(PerQuery_Rohdaten!$A$2:$A$173,$A10,PerQuery_Rohdaten!$B$2:$B$173,$B10)</x:f>
        <x:v>18</x:v>
      </x:c>
      <x:c r="D10" s="13" t="n">
        <x:f>COUNTIFS(PerQuery_Rohdaten!$A$2:$A$173,$A10,PerQuery_Rohdaten!$B$2:$B$173,$B10,PerQuery_Rohdaten!$W$2:$W$173,"vollständig")</x:f>
        <x:v>17</x:v>
      </x:c>
      <x:c r="E10" s="15" t="n">
        <x:f>SUMIFS(PerQuery_Rohdaten!$V$2:$V$173,PerQuery_Rohdaten!$A$2:$A$173,$A10,PerQuery_Rohdaten!$B$2:$B$173,$B10)/C10</x:f>
        <x:v>0.6666666666666666</x:v>
      </x:c>
      <x:c r="F10" s="15" t="n">
        <x:f>SUMIFS(PerQuery_Rohdaten!$S$2:$S$173,PerQuery_Rohdaten!$A$2:$A$173,$A10,PerQuery_Rohdaten!$B$2:$B$173,$B10)/C10</x:f>
        <x:v>0.9444444444444444</x:v>
      </x:c>
      <x:c r="G10" s="15" t="n">
        <x:f>SUMIFS(PerQuery_Rohdaten!$T$2:$T$173,PerQuery_Rohdaten!$A$2:$A$173,$A10,PerQuery_Rohdaten!$B$2:$B$173,$B10)/C10</x:f>
        <x:v>0.7777777777777779</x:v>
      </x:c>
      <x:c r="H10" s="15" t="n">
        <x:f>SUMIFS(PerQuery_Rohdaten!$U$2:$U$173,PerQuery_Rohdaten!$A$2:$A$173,$A10,PerQuery_Rohdaten!$B$2:$B$173,$B10)/C10</x:f>
        <x:v>0.8201033059523842</x:v>
      </x:c>
    </x:row>
    <x:row r="11">
      <x:c r="A11" s="13" t="str">
        <x:v>Mehrsprachig n=18</x:v>
      </x:c>
      <x:c r="B11" s="13" t="str">
        <x:v>Dense</x:v>
      </x:c>
      <x:c r="C11" s="13" t="n">
        <x:f>COUNTIFS(PerQuery_Rohdaten!$A$2:$A$173,$A11,PerQuery_Rohdaten!$B$2:$B$173,$B11)</x:f>
        <x:v>18</x:v>
      </x:c>
      <x:c r="D11" s="13" t="n">
        <x:f>COUNTIFS(PerQuery_Rohdaten!$A$2:$A$173,$A11,PerQuery_Rohdaten!$B$2:$B$173,$B11,PerQuery_Rohdaten!$W$2:$W$173,"vollständig")</x:f>
        <x:v>8</x:v>
      </x:c>
      <x:c r="E11" s="15" t="n">
        <x:f>SUMIFS(PerQuery_Rohdaten!$V$2:$V$173,PerQuery_Rohdaten!$A$2:$A$173,$A11,PerQuery_Rohdaten!$B$2:$B$173,$B11)/C11</x:f>
        <x:v>0.2222222222222222</x:v>
      </x:c>
      <x:c r="F11" s="15" t="n">
        <x:f>SUMIFS(PerQuery_Rohdaten!$S$2:$S$173,PerQuery_Rohdaten!$A$2:$A$173,$A11,PerQuery_Rohdaten!$B$2:$B$173,$B11)/C11</x:f>
        <x:v>0.4444444444444444</x:v>
      </x:c>
      <x:c r="G11" s="15" t="n">
        <x:f>SUMIFS(PerQuery_Rohdaten!$T$2:$T$173,PerQuery_Rohdaten!$A$2:$A$173,$A11,PerQuery_Rohdaten!$B$2:$B$173,$B11)/C11</x:f>
        <x:v>0.31481481481481477</x:v>
      </x:c>
      <x:c r="H11" s="15" t="n">
        <x:f>SUMIFS(PerQuery_Rohdaten!$U$2:$U$173,PerQuery_Rohdaten!$A$2:$A$173,$A11,PerQuery_Rohdaten!$B$2:$B$173,$B11)/C11</x:f>
        <x:v>0.34788108373016197</x:v>
      </x:c>
    </x:row>
    <x:row r="12">
      <x:c r="A12" s="13" t="str">
        <x:v>Mehrsprachig n=18</x:v>
      </x:c>
      <x:c r="B12" s="13" t="str">
        <x:v>Hybrid_alpha_0.25</x:v>
      </x:c>
      <x:c r="C12" s="13" t="n">
        <x:f>COUNTIFS(PerQuery_Rohdaten!$A$2:$A$173,$A12,PerQuery_Rohdaten!$B$2:$B$173,$B12)</x:f>
        <x:v>18</x:v>
      </x:c>
      <x:c r="D12" s="13" t="n">
        <x:f>COUNTIFS(PerQuery_Rohdaten!$A$2:$A$173,$A12,PerQuery_Rohdaten!$B$2:$B$173,$B12,PerQuery_Rohdaten!$W$2:$W$173,"vollständig")</x:f>
        <x:v>18</x:v>
      </x:c>
      <x:c r="E12" s="15" t="n">
        <x:f>SUMIFS(PerQuery_Rohdaten!$V$2:$V$173,PerQuery_Rohdaten!$A$2:$A$173,$A12,PerQuery_Rohdaten!$B$2:$B$173,$B12)/C12</x:f>
        <x:v>0.8333333333333334</x:v>
      </x:c>
      <x:c r="F12" s="15" t="n">
        <x:f>SUMIFS(PerQuery_Rohdaten!$S$2:$S$173,PerQuery_Rohdaten!$A$2:$A$173,$A12,PerQuery_Rohdaten!$B$2:$B$173,$B12)/C12</x:f>
        <x:v>1</x:v>
      </x:c>
      <x:c r="G12" s="15" t="n">
        <x:f>SUMIFS(PerQuery_Rohdaten!$T$2:$T$173,PerQuery_Rohdaten!$A$2:$A$173,$A12,PerQuery_Rohdaten!$B$2:$B$173,$B12)/C12</x:f>
        <x:v>0.898148148148148</x:v>
      </x:c>
      <x:c r="H12" s="15" t="n">
        <x:f>SUMIFS(PerQuery_Rohdaten!$U$2:$U$173,PerQuery_Rohdaten!$A$2:$A$173,$A12,PerQuery_Rohdaten!$B$2:$B$173,$B12)/C12</x:f>
        <x:v>0.923940541865081</x:v>
      </x:c>
    </x:row>
    <x:row r="13">
      <x:c r="A13" s="13" t="str">
        <x:v>Mehrsprachig n=18</x:v>
      </x:c>
      <x:c r="B13" s="13" t="str">
        <x:v>Hybrid_alpha_0.50</x:v>
      </x:c>
      <x:c r="C13" s="13" t="n">
        <x:f>COUNTIFS(PerQuery_Rohdaten!$A$2:$A$173,$A13,PerQuery_Rohdaten!$B$2:$B$173,$B13)</x:f>
        <x:v>18</x:v>
      </x:c>
      <x:c r="D13" s="13" t="n">
        <x:f>COUNTIFS(PerQuery_Rohdaten!$A$2:$A$173,$A13,PerQuery_Rohdaten!$B$2:$B$173,$B13,PerQuery_Rohdaten!$W$2:$W$173,"vollständig")</x:f>
        <x:v>17</x:v>
      </x:c>
      <x:c r="E13" s="15" t="n">
        <x:f>SUMIFS(PerQuery_Rohdaten!$V$2:$V$173,PerQuery_Rohdaten!$A$2:$A$173,$A13,PerQuery_Rohdaten!$B$2:$B$173,$B13)/C13</x:f>
        <x:v>0.8333333333333334</x:v>
      </x:c>
      <x:c r="F13" s="15" t="n">
        <x:f>SUMIFS(PerQuery_Rohdaten!$S$2:$S$173,PerQuery_Rohdaten!$A$2:$A$173,$A13,PerQuery_Rohdaten!$B$2:$B$173,$B13)/C13</x:f>
        <x:v>0.9444444444444444</x:v>
      </x:c>
      <x:c r="G13" s="15" t="n">
        <x:f>SUMIFS(PerQuery_Rohdaten!$T$2:$T$173,PerQuery_Rohdaten!$A$2:$A$173,$A13,PerQuery_Rohdaten!$B$2:$B$173,$B13)/C13</x:f>
        <x:v>0.8888888888888888</x:v>
      </x:c>
      <x:c r="H13" s="15" t="n">
        <x:f>SUMIFS(PerQuery_Rohdaten!$U$2:$U$173,PerQuery_Rohdaten!$A$2:$A$173,$A13,PerQuery_Rohdaten!$B$2:$B$173,$B13)/C13</x:f>
        <x:v>0.9034366392857175</x:v>
      </x:c>
    </x:row>
    <x:row r="16" ht="24" customHeight="1">
      <x:c r="A16" s="75" t="str">
        <x:v>Diagnosefälle der empfohlenen Konfiguration · Hybrid α=0,25</x:v>
      </x:c>
      <x:c r="B16" s="76" t="str">
        <x:v>Diagnosefälle der empfohlenen Konfiguration · Hybrid α=0,25</x:v>
      </x:c>
      <x:c r="C16" s="76" t="str">
        <x:v>Diagnosefälle der empfohlenen Konfiguration · Hybrid α=0,25</x:v>
      </x:c>
      <x:c r="D16" s="76" t="str">
        <x:v>Diagnosefälle der empfohlenen Konfiguration · Hybrid α=0,25</x:v>
      </x:c>
      <x:c r="E16" s="76" t="str">
        <x:v>Diagnosefälle der empfohlenen Konfiguration · Hybrid α=0,25</x:v>
      </x:c>
      <x:c r="F16" s="76" t="str">
        <x:v>Diagnosefälle der empfohlenen Konfiguration · Hybrid α=0,25</x:v>
      </x:c>
      <x:c r="G16" s="76" t="str">
        <x:v>Diagnosefälle der empfohlenen Konfiguration · Hybrid α=0,25</x:v>
      </x:c>
      <x:c r="H16" s="76" t="str">
        <x:v>Diagnosefälle der empfohlenen Konfiguration · Hybrid α=0,25</x:v>
      </x:c>
      <x:c r="I16" s="76" t="str">
        <x:v>Diagnosefälle der empfohlenen Konfiguration · Hybrid α=0,25</x:v>
      </x:c>
      <x:c r="J16" s="76" t="str">
        <x:v>Diagnosefälle der empfohlenen Konfiguration · Hybrid α=0,25</x:v>
      </x:c>
      <x:c r="K16" s="77" t="str">
        <x:v>Diagnosefälle der empfohlenen Konfiguration · Hybrid α=0,25</x:v>
      </x:c>
    </x:row>
    <x:row r="17" ht="28" customHeight="1">
      <x:c r="A17" s="56" t="str">
        <x:v>Set</x:v>
      </x:c>
      <x:c r="B17" s="56" t="str">
        <x:v>ID</x:v>
      </x:c>
      <x:c r="C17" s="56" t="str">
        <x:v>Typ</x:v>
      </x:c>
      <x:c r="D17" s="56" t="str">
        <x:v>Frage</x:v>
      </x:c>
      <x:c r="E17" s="56" t="str">
        <x:v>Goldmodul</x:v>
      </x:c>
      <x:c r="F17" s="56" t="str">
        <x:v>Goldabschnitt</x:v>
      </x:c>
      <x:c r="G17" s="56" t="str">
        <x:v>Top-1 Modul</x:v>
      </x:c>
      <x:c r="H17" s="56" t="str">
        <x:v>Top-1 Abschnitt</x:v>
      </x:c>
      <x:c r="I17" s="56" t="str">
        <x:v>Status</x:v>
      </x:c>
    </x:row>
    <x:row r="18">
      <x:c r="A18" s="13" t="str">
        <x:f>PerQuery_Rohdaten!A58</x:f>
        <x:v>Deutsch n=25</x:v>
      </x:c>
      <x:c r="B18" s="13" t="str">
        <x:f>PerQuery_Rohdaten!C58</x:f>
        <x:v>q07</x:v>
      </x:c>
      <x:c r="C18" s="13" t="str">
        <x:f>PerQuery_Rohdaten!D58</x:f>
        <x:v>broad_topic</x:v>
      </x:c>
      <x:c r="D18" s="13" t="str">
        <x:f>PerQuery_Rohdaten!E58</x:f>
        <x:v>Welche Module behandeln Informationssuche und Suchmaschinen?</x:v>
      </x:c>
      <x:c r="E18" s="13" t="str">
        <x:f>PerQuery_Rohdaten!H58</x:f>
        <x:v>WP3</x:v>
      </x:c>
      <x:c r="F18" s="13" t="str">
        <x:f>PerQuery_Rohdaten!I58</x:f>
        <x:v>Inhalte</x:v>
      </x:c>
      <x:c r="G18" s="13" t="str">
        <x:f>PerQuery_Rohdaten!K58</x:f>
        <x:v>WP3</x:v>
      </x:c>
      <x:c r="H18" s="13" t="str">
        <x:f>PerQuery_Rohdaten!L58</x:f>
        <x:v>Qualifikationsziele</x:v>
      </x:c>
      <x:c r="I18" s="13" t="str">
        <x:f>PerQuery_Rohdaten!W58</x:f>
        <x:v>vollständig</x:v>
      </x:c>
    </x:row>
    <x:row r="19">
      <x:c r="A19" s="13" t="str">
        <x:f>PerQuery_Rohdaten!A61</x:f>
        <x:v>Deutsch n=25</x:v>
      </x:c>
      <x:c r="B19" s="13" t="str">
        <x:f>PerQuery_Rohdaten!C61</x:f>
        <x:v>q10</x:v>
      </x:c>
      <x:c r="C19" s="13" t="str">
        <x:f>PerQuery_Rohdaten!D61</x:f>
        <x:v>broad_topic</x:v>
      </x:c>
      <x:c r="D19" s="13" t="str">
        <x:f>PerQuery_Rohdaten!E61</x:f>
        <x:v>Welche Wahlpflichtmodule gibt es zu Morphologie und Lexikographie?</x:v>
      </x:c>
      <x:c r="E19" s="13" t="str">
        <x:f>PerQuery_Rohdaten!H61</x:f>
        <x:v>WP1</x:v>
      </x:c>
      <x:c r="F19" s="13" t="str">
        <x:f>PerQuery_Rohdaten!I61</x:f>
        <x:v>Inhalte;header</x:v>
      </x:c>
      <x:c r="G19" s="13" t="str">
        <x:f>PerQuery_Rohdaten!K61</x:f>
        <x:v>WP1</x:v>
      </x:c>
      <x:c r="H19" s="13" t="str">
        <x:f>PerQuery_Rohdaten!L61</x:f>
        <x:v>Wahlpflichtregelungen</x:v>
      </x:c>
      <x:c r="I19" s="13" t="str">
        <x:f>PerQuery_Rohdaten!W61</x:f>
        <x:v>teilweise</x:v>
      </x:c>
    </x:row>
    <x:row r="20">
      <x:c r="A20" s="13" t="str">
        <x:f>PerQuery_Rohdaten!A63</x:f>
        <x:v>Deutsch n=25</x:v>
      </x:c>
      <x:c r="B20" s="13" t="str">
        <x:f>PerQuery_Rohdaten!C63</x:f>
        <x:v>q12</x:v>
      </x:c>
      <x:c r="C20" s="13" t="str">
        <x:f>PerQuery_Rohdaten!D63</x:f>
        <x:v>exam</x:v>
      </x:c>
      <x:c r="D20" s="13" t="str">
        <x:f>PerQuery_Rohdaten!E63</x:f>
        <x:v>Welche Prüfungsform hat P13 Abschlussmodul?</x:v>
      </x:c>
      <x:c r="E20" s="13" t="str">
        <x:f>PerQuery_Rohdaten!H63</x:f>
        <x:v>P13</x:v>
      </x:c>
      <x:c r="F20" s="13" t="str">
        <x:f>PerQuery_Rohdaten!I63</x:f>
        <x:v>Form der Modulprüfung</x:v>
      </x:c>
      <x:c r="G20" s="13" t="str">
        <x:f>PerQuery_Rohdaten!K63</x:f>
        <x:v>P5</x:v>
      </x:c>
      <x:c r="H20" s="13" t="str">
        <x:f>PerQuery_Rohdaten!L63</x:f>
        <x:v>Form der Modulprüfung</x:v>
      </x:c>
      <x:c r="I20" s="13" t="str">
        <x:f>PerQuery_Rohdaten!W63</x:f>
        <x:v>nicht gefunden</x:v>
      </x:c>
    </x:row>
    <x:row r="21">
      <x:c r="A21" s="13" t="str">
        <x:f>PerQuery_Rohdaten!A70</x:f>
        <x:v>Deutsch n=25</x:v>
      </x:c>
      <x:c r="B21" s="13" t="str">
        <x:f>PerQuery_Rohdaten!C70</x:f>
        <x:v>q19</x:v>
      </x:c>
      <x:c r="C21" s="13" t="str">
        <x:f>PerQuery_Rohdaten!D70</x:f>
        <x:v>broad_topic</x:v>
      </x:c>
      <x:c r="D21" s="13" t="str">
        <x:f>PerQuery_Rohdaten!E70</x:f>
        <x:v>Welche Module behandeln maschinelles Lernen?</x:v>
      </x:c>
      <x:c r="E21" s="13" t="str">
        <x:f>PerQuery_Rohdaten!H70</x:f>
        <x:v>P8</x:v>
      </x:c>
      <x:c r="F21" s="13" t="str">
        <x:f>PerQuery_Rohdaten!I70</x:f>
        <x:v>Inhalte</x:v>
      </x:c>
      <x:c r="G21" s="13" t="str">
        <x:f>PerQuery_Rohdaten!K70</x:f>
        <x:v>P7</x:v>
      </x:c>
      <x:c r="H21" s="13" t="str">
        <x:f>PerQuery_Rohdaten!L70</x:f>
        <x:v>Qualifikationsziele</x:v>
      </x:c>
      <x:c r="I21" s="13" t="str">
        <x:f>PerQuery_Rohdaten!W70</x:f>
        <x:v>nicht gefunden</x:v>
      </x:c>
    </x:row>
    <x:row r="22">
      <x:c r="A22" s="13" t="str">
        <x:f>PerQuery_Rohdaten!A71</x:f>
        <x:v>Deutsch n=25</x:v>
      </x:c>
      <x:c r="B22" s="13" t="str">
        <x:f>PerQuery_Rohdaten!C71</x:f>
        <x:v>q20</x:v>
      </x:c>
      <x:c r="C22" s="13" t="str">
        <x:f>PerQuery_Rohdaten!D71</x:f>
        <x:v>broad_topic</x:v>
      </x:c>
      <x:c r="D22" s="13" t="str">
        <x:f>PerQuery_Rohdaten!E71</x:f>
        <x:v>In welchem Modul geht es um Syntax natürlicher Sprachen?</x:v>
      </x:c>
      <x:c r="E22" s="13" t="str">
        <x:f>PerQuery_Rohdaten!H71</x:f>
        <x:v>P6</x:v>
      </x:c>
      <x:c r="F22" s="13" t="str">
        <x:f>PerQuery_Rohdaten!I71</x:f>
        <x:v>Inhalte;header</x:v>
      </x:c>
      <x:c r="G22" s="13" t="str">
        <x:f>PerQuery_Rohdaten!K71</x:f>
        <x:v>P6</x:v>
      </x:c>
      <x:c r="H22" s="13" t="str">
        <x:f>PerQuery_Rohdaten!L71</x:f>
        <x:v>Unterrichtssprache</x:v>
      </x:c>
      <x:c r="I22" s="13" t="str">
        <x:f>PerQuery_Rohdaten!W71</x:f>
        <x:v>teilweise</x:v>
      </x:c>
    </x:row>
    <x:row r="23">
      <x:c r="A23" s="13" t="str">
        <x:f>PerQuery_Rohdaten!A73</x:f>
        <x:v>Deutsch n=25</x:v>
      </x:c>
      <x:c r="B23" s="13" t="str">
        <x:f>PerQuery_Rohdaten!C73</x:f>
        <x:v>q22</x:v>
      </x:c>
      <x:c r="C23" s="13" t="str">
        <x:f>PerQuery_Rohdaten!D73</x:f>
        <x:v>responsible_person</x:v>
      </x:c>
      <x:c r="D23" s="13" t="str">
        <x:f>PerQuery_Rohdaten!E73</x:f>
        <x:v>Wer ist Modulverantwortlicher für WP2 Höhere Programmiersprache?</x:v>
      </x:c>
      <x:c r="E23" s="13" t="str">
        <x:f>PerQuery_Rohdaten!H73</x:f>
        <x:v>WP2</x:v>
      </x:c>
      <x:c r="F23" s="13" t="str">
        <x:f>PerQuery_Rohdaten!I73</x:f>
        <x:v>Modulverantwortliche/r</x:v>
      </x:c>
      <x:c r="G23" s="13" t="str">
        <x:f>PerQuery_Rohdaten!K73</x:f>
        <x:v>WP2</x:v>
      </x:c>
      <x:c r="H23" s="13" t="str">
        <x:f>PerQuery_Rohdaten!L73</x:f>
        <x:v>Unterrichtssprache</x:v>
      </x:c>
      <x:c r="I23" s="13" t="str">
        <x:f>PerQuery_Rohdaten!W73</x:f>
        <x:v>vollständig</x:v>
      </x:c>
    </x:row>
    <x:row r="24">
      <x:c r="A24" s="13" t="str">
        <x:f>PerQuery_Rohdaten!A75</x:f>
        <x:v>Deutsch n=25</x:v>
      </x:c>
      <x:c r="B24" s="13" t="str">
        <x:f>PerQuery_Rohdaten!C75</x:f>
        <x:v>q24</x:v>
      </x:c>
      <x:c r="C24" s="13" t="str">
        <x:f>PerQuery_Rohdaten!D75</x:f>
        <x:v>content</x:v>
      </x:c>
      <x:c r="D24" s="13" t="str">
        <x:f>PerQuery_Rohdaten!E75</x:f>
        <x:v>Welche Inhalte behandelt P5 Symbolische Programmiersprache?</x:v>
      </x:c>
      <x:c r="E24" s="13" t="str">
        <x:f>PerQuery_Rohdaten!H75</x:f>
        <x:v>P5</x:v>
      </x:c>
      <x:c r="F24" s="13" t="str">
        <x:f>PerQuery_Rohdaten!I75</x:f>
        <x:v>Inhalte</x:v>
      </x:c>
      <x:c r="G24" s="13" t="str">
        <x:f>PerQuery_Rohdaten!K75</x:f>
        <x:v>P5</x:v>
      </x:c>
      <x:c r="H24" s="13" t="str">
        <x:f>PerQuery_Rohdaten!L75</x:f>
        <x:v>Unterrichtssprache</x:v>
      </x:c>
      <x:c r="I24" s="13" t="str">
        <x:f>PerQuery_Rohdaten!W75</x:f>
        <x:v>vollständig</x:v>
      </x:c>
    </x:row>
    <x:row r="25">
      <x:c r="A25" s="13" t="str">
        <x:f>PerQuery_Rohdaten!A145</x:f>
        <x:v>Mehrsprachig n=18</x:v>
      </x:c>
      <x:c r="B25" s="13" t="str">
        <x:f>PerQuery_Rohdaten!C145</x:f>
        <x:v>m03_en</x:v>
      </x:c>
      <x:c r="C25" s="13" t="str">
        <x:f>PerQuery_Rohdaten!D145</x:f>
        <x:v>responsible_person</x:v>
      </x:c>
      <x:c r="D25" s="13" t="str">
        <x:f>PerQuery_Rohdaten!E145</x:f>
        <x:v>Who is responsible for P10 Statistical Methods in Natural Language Processing?</x:v>
      </x:c>
      <x:c r="E25" s="13" t="str">
        <x:f>PerQuery_Rohdaten!H145</x:f>
        <x:v>P10</x:v>
      </x:c>
      <x:c r="F25" s="13" t="str">
        <x:f>PerQuery_Rohdaten!I145</x:f>
        <x:v>Modulverantwortliche/r</x:v>
      </x:c>
      <x:c r="G25" s="13" t="str">
        <x:f>PerQuery_Rohdaten!K145</x:f>
        <x:v>P10</x:v>
      </x:c>
      <x:c r="H25" s="13" t="str">
        <x:f>PerQuery_Rohdaten!L145</x:f>
        <x:v>Unterrichtssprache</x:v>
      </x:c>
      <x:c r="I25" s="13" t="str">
        <x:f>PerQuery_Rohdaten!W145</x:f>
        <x:v>vollständig</x:v>
      </x:c>
    </x:row>
    <x:row r="26">
      <x:c r="A26" s="13" t="str">
        <x:f>PerQuery_Rohdaten!A151</x:f>
        <x:v>Mehrsprachig n=18</x:v>
      </x:c>
      <x:c r="B26" s="13" t="str">
        <x:f>PerQuery_Rohdaten!C151</x:f>
        <x:v>m05_en</x:v>
      </x:c>
      <x:c r="C26" s="13" t="str">
        <x:f>PerQuery_Rohdaten!D151</x:f>
        <x:v>content</x:v>
      </x:c>
      <x:c r="D26" s="13" t="str">
        <x:f>PerQuery_Rohdaten!E151</x:f>
        <x:v>What topics are covered in P11 Information Extraction?</x:v>
      </x:c>
      <x:c r="E26" s="13" t="str">
        <x:f>PerQuery_Rohdaten!H151</x:f>
        <x:v>P11</x:v>
      </x:c>
      <x:c r="F26" s="13" t="str">
        <x:f>PerQuery_Rohdaten!I151</x:f>
        <x:v>Inhalte</x:v>
      </x:c>
      <x:c r="G26" s="13" t="str">
        <x:f>PerQuery_Rohdaten!K151</x:f>
        <x:v>P11</x:v>
      </x:c>
      <x:c r="H26" s="13" t="str">
        <x:f>PerQuery_Rohdaten!L151</x:f>
        <x:v>Englischer Modultitel</x:v>
      </x:c>
      <x:c r="I26" s="13" t="str">
        <x:f>PerQuery_Rohdaten!W151</x:f>
        <x:v>vollständig</x:v>
      </x:c>
    </x:row>
    <x:row r="27">
      <x:c r="A27" s="13" t="str">
        <x:f>PerQuery_Rohdaten!A153</x:f>
        <x:v>Mehrsprachig n=18</x:v>
      </x:c>
      <x:c r="B27" s="13" t="str">
        <x:f>PerQuery_Rohdaten!C153</x:f>
        <x:v>m06_de</x:v>
      </x:c>
      <x:c r="C27" s="13" t="str">
        <x:f>PerQuery_Rohdaten!D153</x:f>
        <x:v>broad_topic</x:v>
      </x:c>
      <x:c r="D27" s="13" t="str">
        <x:f>PerQuery_Rohdaten!E153</x:f>
        <x:v>Welche Module behandeln Informationssuche oder Suchmaschinen?</x:v>
      </x:c>
      <x:c r="E27" s="13" t="str">
        <x:f>PerQuery_Rohdaten!H153</x:f>
        <x:v>WP3</x:v>
      </x:c>
      <x:c r="F27" s="13" t="str">
        <x:f>PerQuery_Rohdaten!I153</x:f>
        <x:v>Inhalte</x:v>
      </x:c>
      <x:c r="G27" s="13" t="str">
        <x:f>PerQuery_Rohdaten!K153</x:f>
        <x:v>WP3</x:v>
      </x:c>
      <x:c r="H27" s="13" t="str">
        <x:f>PerQuery_Rohdaten!L153</x:f>
        <x:v>Qualifikationsziele</x:v>
      </x:c>
      <x:c r="I27" s="13" t="str">
        <x:f>PerQuery_Rohdaten!W153</x:f>
        <x:v>vollständig</x:v>
      </x:c>
    </x:row>
  </x:sheetData>
  <x:mergeCells>
    <x:mergeCell ref="A1:K1"/>
    <x:mergeCell ref="A2:K2"/>
    <x:mergeCell ref="A4:K4"/>
    <x:mergeCell ref="A16:K16"/>
  </x:mergeCells>
  <x:conditionalFormatting sqref="I18:I27">
    <x:cfRule type="containsText" dxfId="0" priority="1" operator="containsText" text="vollständig"/>
    <x:cfRule type="containsText" dxfId="1" priority="2" operator="containsText" text="teilweise"/>
    <x:cfRule type="containsText" dxfId="2" priority="3" operator="containsText" text="nicht gefund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4" customHeight="1">
      <x:c r="A1" s="17" t="str">
        <x:v>Korpus und Integrität</x:v>
      </x:c>
      <x:c r="B1" s="17" t="str">
        <x:v>Korpus und Integrität</x:v>
      </x:c>
      <x:c r="C1" s="17" t="str">
        <x:v>Korpus und Integrität</x:v>
      </x:c>
      <x:c r="D1" s="17" t="str">
        <x:v>Korpus und Integrität</x:v>
      </x:c>
      <x:c r="E1" s="17" t="str">
        <x:v>Korpus und Integrität</x:v>
      </x:c>
      <x:c r="F1" s="17" t="str">
        <x:v>Korpus und Integrität</x:v>
      </x:c>
      <x:c r="G1" s="17" t="str">
        <x:v>Korpus und Integrität</x:v>
      </x:c>
      <x:c r="H1" s="17" t="str">
        <x:v>Korpus und Integrität</x:v>
      </x:c>
      <x:c r="I1" s="17" t="str">
        <x:v>Korpus und Integrität</x:v>
      </x:c>
      <x:c r="J1" s="17" t="str">
        <x:v>Korpus und Integrität</x:v>
      </x:c>
      <x:c r="K1" s="17" t="str">
        <x:v>Korpus und Integrität</x:v>
      </x:c>
      <x:c r="L1" s="17" t="str">
        <x:v>Korpus und Integrität</x:v>
      </x:c>
      <x:c r="M1" s="17" t="str">
        <x:v>Korpus und Integrität</x:v>
      </x:c>
      <x:c r="N1" s="17" t="str">
        <x:v>Korpus und Integrität</x:v>
      </x:c>
      <x:c r="O1" s="17" t="str">
        <x:v>Korpus und Integrität</x:v>
      </x:c>
      <x:c r="P1" s="17" t="str">
        <x:v>Korpus und Integrität</x:v>
      </x:c>
    </x:row>
    <x:row r="2" ht="22" customHeight="1">
      <x:c r="A2" s="19" t="str">
        <x:v>Sieben PDFs werden technisch verarbeitet; Qualitätsmetriken bleiben auf das CL-BSc-Goldset begrenzt.</x:v>
      </x:c>
      <x:c r="B2" s="19" t="str">
        <x:v>Sieben PDFs werden technisch verarbeitet; Qualitätsmetriken bleiben auf das CL-BSc-Goldset begrenzt.</x:v>
      </x:c>
      <x:c r="C2" s="19" t="str">
        <x:v>Sieben PDFs werden technisch verarbeitet; Qualitätsmetriken bleiben auf das CL-BSc-Goldset begrenzt.</x:v>
      </x:c>
      <x:c r="D2" s="19" t="str">
        <x:v>Sieben PDFs werden technisch verarbeitet; Qualitätsmetriken bleiben auf das CL-BSc-Goldset begrenzt.</x:v>
      </x:c>
      <x:c r="E2" s="19" t="str">
        <x:v>Sieben PDFs werden technisch verarbeitet; Qualitätsmetriken bleiben auf das CL-BSc-Goldset begrenzt.</x:v>
      </x:c>
      <x:c r="F2" s="19" t="str">
        <x:v>Sieben PDFs werden technisch verarbeitet; Qualitätsmetriken bleiben auf das CL-BSc-Goldset begrenzt.</x:v>
      </x:c>
      <x:c r="G2" s="19" t="str">
        <x:v>Sieben PDFs werden technisch verarbeitet; Qualitätsmetriken bleiben auf das CL-BSc-Goldset begrenzt.</x:v>
      </x:c>
      <x:c r="H2" s="19" t="str">
        <x:v>Sieben PDFs werden technisch verarbeitet; Qualitätsmetriken bleiben auf das CL-BSc-Goldset begrenzt.</x:v>
      </x:c>
      <x:c r="I2" s="19" t="str">
        <x:v>Sieben PDFs werden technisch verarbeitet; Qualitätsmetriken bleiben auf das CL-BSc-Goldset begrenzt.</x:v>
      </x:c>
      <x:c r="J2" s="19" t="str">
        <x:v>Sieben PDFs werden technisch verarbeitet; Qualitätsmetriken bleiben auf das CL-BSc-Goldset begrenzt.</x:v>
      </x:c>
      <x:c r="K2" s="19" t="str">
        <x:v>Sieben PDFs werden technisch verarbeitet; Qualitätsmetriken bleiben auf das CL-BSc-Goldset begrenzt.</x:v>
      </x:c>
      <x:c r="L2" s="19" t="str">
        <x:v>Sieben PDFs werden technisch verarbeitet; Qualitätsmetriken bleiben auf das CL-BSc-Goldset begrenzt.</x:v>
      </x:c>
      <x:c r="M2" s="19" t="str">
        <x:v>Sieben PDFs werden technisch verarbeitet; Qualitätsmetriken bleiben auf das CL-BSc-Goldset begrenzt.</x:v>
      </x:c>
      <x:c r="N2" s="19" t="str">
        <x:v>Sieben PDFs werden technisch verarbeitet; Qualitätsmetriken bleiben auf das CL-BSc-Goldset begrenzt.</x:v>
      </x:c>
      <x:c r="O2" s="19" t="str">
        <x:v>Sieben PDFs werden technisch verarbeitet; Qualitätsmetriken bleiben auf das CL-BSc-Goldset begrenzt.</x:v>
      </x:c>
      <x:c r="P2" s="19" t="str">
        <x:v>Sieben PDFs werden technisch verarbeitet; Qualitätsmetriken bleiben auf das CL-BSc-Goldset begrenzt.</x:v>
      </x:c>
    </x:row>
    <x:row r="4">
      <x:c r="A4" s="29" t="str">
        <x:v>Dokumente im Stresstest</x:v>
      </x:c>
      <x:c r="B4" s="30" t="str">
        <x:v>Dokumente im Stresstest</x:v>
      </x:c>
      <x:c r="C4" s="30" t="str">
        <x:v>Dokumente im Stresstest</x:v>
      </x:c>
      <x:c r="D4" s="30" t="str">
        <x:v>Dokumente im Stresstest</x:v>
      </x:c>
      <x:c r="E4" s="31" t="str">
        <x:v>Dokumente im Stresstest</x:v>
      </x:c>
      <x:c r="F4" s="29" t="str">
        <x:v>Field-Chunks</x:v>
      </x:c>
      <x:c r="G4" s="30" t="str">
        <x:v>Field-Chunks</x:v>
      </x:c>
      <x:c r="H4" s="30" t="str">
        <x:v>Field-Chunks</x:v>
      </x:c>
      <x:c r="I4" s="30" t="str">
        <x:v>Field-Chunks</x:v>
      </x:c>
      <x:c r="J4" s="31" t="str">
        <x:v>Field-Chunks</x:v>
      </x:c>
      <x:c r="K4" s="29" t="str">
        <x:v>Module-Chunks</x:v>
      </x:c>
      <x:c r="L4" s="30" t="str">
        <x:v>Module-Chunks</x:v>
      </x:c>
      <x:c r="M4" s="30" t="str">
        <x:v>Module-Chunks</x:v>
      </x:c>
      <x:c r="N4" s="30" t="str">
        <x:v>Module-Chunks</x:v>
      </x:c>
      <x:c r="O4" s="30" t="str">
        <x:v>Module-Chunks</x:v>
      </x:c>
      <x:c r="P4" s="31" t="str">
        <x:v>Module-Chunks</x:v>
      </x:c>
    </x:row>
    <x:row r="5">
      <x:c r="A5" s="107" t="n">
        <x:f>'Integritaet_Rohdaten'!B10</x:f>
        <x:v>7</x:v>
      </x:c>
      <x:c r="B5" s="20"/>
      <x:c r="C5" s="20"/>
      <x:c r="D5" s="20"/>
      <x:c r="E5" s="25"/>
      <x:c r="F5" s="109" t="n">
        <x:f>'Integritaet_Rohdaten'!D10</x:f>
        <x:v>3391</x:v>
      </x:c>
      <x:c r="G5" s="20"/>
      <x:c r="H5" s="20"/>
      <x:c r="I5" s="20"/>
      <x:c r="J5" s="25"/>
      <x:c r="K5" s="111" t="n">
        <x:f>'Integritaet_Rohdaten'!D9</x:f>
        <x:v>239</x:v>
      </x:c>
      <x:c r="L5" s="20"/>
      <x:c r="M5" s="20"/>
      <x:c r="N5" s="20"/>
      <x:c r="O5" s="20"/>
      <x:c r="P5" s="25"/>
    </x:row>
    <x:row r="6">
      <x:c r="A6" s="24"/>
      <x:c r="B6" s="20"/>
      <x:c r="C6" s="20"/>
      <x:c r="D6" s="20"/>
      <x:c r="E6" s="25"/>
      <x:c r="F6" s="24"/>
      <x:c r="G6" s="20"/>
      <x:c r="H6" s="20"/>
      <x:c r="I6" s="20"/>
      <x:c r="J6" s="25"/>
      <x:c r="K6" s="24"/>
      <x:c r="L6" s="20"/>
      <x:c r="M6" s="20"/>
      <x:c r="N6" s="20"/>
      <x:c r="O6" s="20"/>
      <x:c r="P6" s="25"/>
    </x:row>
    <x:row r="7">
      <x:c r="A7" s="35" t="str">
        <x:v>alle Varianten</x:v>
      </x:c>
      <x:c r="B7" s="36" t="str">
        <x:v>alle Varianten</x:v>
      </x:c>
      <x:c r="C7" s="36" t="str">
        <x:v>alle Varianten</x:v>
      </x:c>
      <x:c r="D7" s="36" t="str">
        <x:v>alle Varianten</x:v>
      </x:c>
      <x:c r="E7" s="37" t="str">
        <x:v>alle Varianten</x:v>
      </x:c>
      <x:c r="F7" s="35" t="str">
        <x:v>Sieben-PDF-Stresstest</x:v>
      </x:c>
      <x:c r="G7" s="36" t="str">
        <x:v>Sieben-PDF-Stresstest</x:v>
      </x:c>
      <x:c r="H7" s="36" t="str">
        <x:v>Sieben-PDF-Stresstest</x:v>
      </x:c>
      <x:c r="I7" s="36" t="str">
        <x:v>Sieben-PDF-Stresstest</x:v>
      </x:c>
      <x:c r="J7" s="37" t="str">
        <x:v>Sieben-PDF-Stresstest</x:v>
      </x:c>
      <x:c r="K7" s="35" t="str">
        <x:v>Sieben-PDF-Stresstest</x:v>
      </x:c>
      <x:c r="L7" s="36" t="str">
        <x:v>Sieben-PDF-Stresstest</x:v>
      </x:c>
      <x:c r="M7" s="36" t="str">
        <x:v>Sieben-PDF-Stresstest</x:v>
      </x:c>
      <x:c r="N7" s="36" t="str">
        <x:v>Sieben-PDF-Stresstest</x:v>
      </x:c>
      <x:c r="O7" s="36" t="str">
        <x:v>Sieben-PDF-Stresstest</x:v>
      </x:c>
      <x:c r="P7" s="37" t="str">
        <x:v>Sieben-PDF-Stresstest</x:v>
      </x:c>
    </x:row>
    <x:row r="10" ht="24" customHeight="1">
      <x:c r="A10" s="75" t="str">
        <x:v>Alle Corpus-/Chunking-Kombinationen</x:v>
      </x:c>
      <x:c r="B10" s="76" t="str">
        <x:v>Alle Corpus-/Chunking-Kombinationen</x:v>
      </x:c>
      <x:c r="C10" s="76" t="str">
        <x:v>Alle Corpus-/Chunking-Kombinationen</x:v>
      </x:c>
      <x:c r="D10" s="76" t="str">
        <x:v>Alle Corpus-/Chunking-Kombinationen</x:v>
      </x:c>
      <x:c r="E10" s="77" t="str">
        <x:v>Alle Corpus-/Chunking-Kombinationen</x:v>
      </x:c>
    </x:row>
    <x:row r="11" ht="28" customHeight="1">
      <x:c r="A11" s="6" t="str">
        <x:v>Korpus</x:v>
      </x:c>
      <x:c r="B11" s="6" t="str">
        <x:v>Dokumente</x:v>
      </x:c>
      <x:c r="C11" s="6" t="str">
        <x:v>Chunking</x:v>
      </x:c>
      <x:c r="D11" s="6" t="str">
        <x:v>Chunks</x:v>
      </x:c>
      <x:c r="E11" s="6" t="str">
        <x:v>eindeutige IDs</x:v>
      </x:c>
    </x:row>
    <x:row r="12">
      <x:c r="A12" s="13" t="str">
        <x:v>CL-BSc offiziell</x:v>
      </x:c>
      <x:c r="B12" s="13" t="n">
        <x:f>Integritaet_Rohdaten!B2</x:f>
        <x:v>1</x:v>
      </x:c>
      <x:c r="C12" s="13" t="str">
        <x:v>Naive</x:v>
      </x:c>
      <x:c r="D12" s="13" t="n">
        <x:f>Integritaet_Rohdaten!D2</x:f>
        <x:v>62</x:v>
      </x:c>
      <x:c r="E12" s="13" t="n">
        <x:f>Integritaet_Rohdaten!E2</x:f>
        <x:v>62</x:v>
      </x:c>
    </x:row>
    <x:row r="13">
      <x:c r="A13" s="13" t="str">
        <x:v>CL-BSc offiziell</x:v>
      </x:c>
      <x:c r="B13" s="13" t="n">
        <x:f>Integritaet_Rohdaten!B3</x:f>
        <x:v>1</x:v>
      </x:c>
      <x:c r="C13" s="13" t="str">
        <x:v>Module</x:v>
      </x:c>
      <x:c r="D13" s="13" t="n">
        <x:f>Integritaet_Rohdaten!D3</x:f>
        <x:v>17</x:v>
      </x:c>
      <x:c r="E13" s="13" t="n">
        <x:f>Integritaet_Rohdaten!E3</x:f>
        <x:v>17</x:v>
      </x:c>
    </x:row>
    <x:row r="14">
      <x:c r="A14" s="13" t="str">
        <x:v>CL-BSc offiziell</x:v>
      </x:c>
      <x:c r="B14" s="13" t="n">
        <x:f>Integritaet_Rohdaten!B4</x:f>
        <x:v>1</x:v>
      </x:c>
      <x:c r="C14" s="13" t="str">
        <x:v>Field</x:v>
      </x:c>
      <x:c r="D14" s="13" t="n">
        <x:f>Integritaet_Rohdaten!D4</x:f>
        <x:v>307</x:v>
      </x:c>
      <x:c r="E14" s="13" t="n">
        <x:f>Integritaet_Rohdaten!E4</x:f>
        <x:v>307</x:v>
      </x:c>
    </x:row>
    <x:row r="15">
      <x:c r="A15" s="13" t="str">
        <x:v>Kuratiert · 4 Dokumente</x:v>
      </x:c>
      <x:c r="B15" s="13" t="n">
        <x:f>Integritaet_Rohdaten!B5</x:f>
        <x:v>4</x:v>
      </x:c>
      <x:c r="C15" s="13" t="str">
        <x:v>Naive</x:v>
      </x:c>
      <x:c r="D15" s="13" t="n">
        <x:f>Integritaet_Rohdaten!D5</x:f>
        <x:v>578</x:v>
      </x:c>
      <x:c r="E15" s="13" t="n">
        <x:f>Integritaet_Rohdaten!E5</x:f>
        <x:v>578</x:v>
      </x:c>
    </x:row>
    <x:row r="16">
      <x:c r="A16" s="13" t="str">
        <x:v>Kuratiert · 4 Dokumente</x:v>
      </x:c>
      <x:c r="B16" s="13" t="n">
        <x:f>Integritaet_Rohdaten!B6</x:f>
        <x:v>4</x:v>
      </x:c>
      <x:c r="C16" s="13" t="str">
        <x:v>Module</x:v>
      </x:c>
      <x:c r="D16" s="13" t="n">
        <x:f>Integritaet_Rohdaten!D6</x:f>
        <x:v>146</x:v>
      </x:c>
      <x:c r="E16" s="13" t="n">
        <x:f>Integritaet_Rohdaten!E6</x:f>
        <x:v>146</x:v>
      </x:c>
    </x:row>
    <x:row r="17">
      <x:c r="A17" s="13" t="str">
        <x:v>Kuratiert · 4 Dokumente</x:v>
      </x:c>
      <x:c r="B17" s="13" t="n">
        <x:f>Integritaet_Rohdaten!B7</x:f>
        <x:v>4</x:v>
      </x:c>
      <x:c r="C17" s="13" t="str">
        <x:v>Field</x:v>
      </x:c>
      <x:c r="D17" s="13" t="n">
        <x:f>Integritaet_Rohdaten!D7</x:f>
        <x:v>1990</x:v>
      </x:c>
      <x:c r="E17" s="13" t="n">
        <x:f>Integritaet_Rohdaten!E7</x:f>
        <x:v>1990</x:v>
      </x:c>
    </x:row>
    <x:row r="18">
      <x:c r="A18" s="13" t="str">
        <x:v>Varianten-Stress · 7 PDFs</x:v>
      </x:c>
      <x:c r="B18" s="13" t="n">
        <x:f>Integritaet_Rohdaten!B8</x:f>
        <x:v>7</x:v>
      </x:c>
      <x:c r="C18" s="13" t="str">
        <x:v>Naive</x:v>
      </x:c>
      <x:c r="D18" s="13" t="n">
        <x:f>Integritaet_Rohdaten!D8</x:f>
        <x:v>937</x:v>
      </x:c>
      <x:c r="E18" s="13" t="n">
        <x:f>Integritaet_Rohdaten!E8</x:f>
        <x:v>937</x:v>
      </x:c>
    </x:row>
    <x:row r="19">
      <x:c r="A19" s="13" t="str">
        <x:v>Varianten-Stress · 7 PDFs</x:v>
      </x:c>
      <x:c r="B19" s="13" t="n">
        <x:f>Integritaet_Rohdaten!B9</x:f>
        <x:v>7</x:v>
      </x:c>
      <x:c r="C19" s="13" t="str">
        <x:v>Module</x:v>
      </x:c>
      <x:c r="D19" s="13" t="n">
        <x:f>Integritaet_Rohdaten!D9</x:f>
        <x:v>239</x:v>
      </x:c>
      <x:c r="E19" s="13" t="n">
        <x:f>Integritaet_Rohdaten!E9</x:f>
        <x:v>239</x:v>
      </x:c>
    </x:row>
    <x:row r="20">
      <x:c r="A20" s="13" t="str">
        <x:v>Varianten-Stress · 7 PDFs</x:v>
      </x:c>
      <x:c r="B20" s="13" t="n">
        <x:f>Integritaet_Rohdaten!B10</x:f>
        <x:v>7</x:v>
      </x:c>
      <x:c r="C20" s="13" t="str">
        <x:v>Field</x:v>
      </x:c>
      <x:c r="D20" s="13" t="n">
        <x:f>Integritaet_Rohdaten!D10</x:f>
        <x:v>3391</x:v>
      </x:c>
      <x:c r="E20" s="13" t="n">
        <x:f>Integritaet_Rohdaten!E10</x:f>
        <x:v>3391</x:v>
      </x:c>
    </x:row>
    <x:row r="22" ht="28" customHeight="1">
      <x:c r="I22" s="56" t="str">
        <x:v>Korpus</x:v>
      </x:c>
      <x:c r="J22" s="56" t="str">
        <x:v>Field-Chunks</x:v>
      </x:c>
    </x:row>
    <x:row r="23">
      <x:c r="A23" s="121" t="str">
        <x:v>Hinweis: Naive-Chunks ohne Modul stammen aus dokumentweiten Deck- oder Einleitungsseiten. Field- und Module-Chunks besitzen in allen Korpora vollständige Modulmetadaten.</x:v>
      </x:c>
      <x:c r="B23" s="122"/>
      <x:c r="C23" s="122"/>
      <x:c r="D23" s="122"/>
      <x:c r="E23" s="122"/>
      <x:c r="F23" s="122"/>
      <x:c r="G23" s="123"/>
      <x:c r="I23" s="13" t="str">
        <x:v>CL-BSc</x:v>
      </x:c>
      <x:c r="J23" s="13" t="n">
        <x:f>D14</x:f>
        <x:v>307</x:v>
      </x:c>
    </x:row>
    <x:row r="24">
      <x:c r="A24" s="124"/>
      <x:c r="B24" s="125"/>
      <x:c r="C24" s="125"/>
      <x:c r="D24" s="125"/>
      <x:c r="E24" s="125"/>
      <x:c r="F24" s="125"/>
      <x:c r="G24" s="126"/>
      <x:c r="I24" s="13" t="str">
        <x:v>4 Dokumente</x:v>
      </x:c>
      <x:c r="J24" s="13" t="n">
        <x:f>D17</x:f>
        <x:v>1990</x:v>
      </x:c>
    </x:row>
    <x:row r="25">
      <x:c r="A25" s="127"/>
      <x:c r="B25" s="128"/>
      <x:c r="C25" s="128"/>
      <x:c r="D25" s="128"/>
      <x:c r="E25" s="128"/>
      <x:c r="F25" s="128"/>
      <x:c r="G25" s="129"/>
      <x:c r="I25" s="13" t="str">
        <x:v>7 PDFs</x:v>
      </x:c>
      <x:c r="J25" s="13" t="n">
        <x:f>D20</x:f>
        <x:v>3391</x:v>
      </x:c>
    </x:row>
  </x:sheetData>
  <x:mergeCells>
    <x:mergeCell ref="A1:P1"/>
    <x:mergeCell ref="A2:P2"/>
    <x:mergeCell ref="A4:E4"/>
    <x:mergeCell ref="A5:E6"/>
    <x:mergeCell ref="A7:E7"/>
    <x:mergeCell ref="F4:J4"/>
    <x:mergeCell ref="F5:J6"/>
    <x:mergeCell ref="F7:J7"/>
    <x:mergeCell ref="K4:P4"/>
    <x:mergeCell ref="K5:P6"/>
    <x:mergeCell ref="K7:P7"/>
    <x:mergeCell ref="A10:E10"/>
    <x:mergeCell ref="A23:G25"/>
  </x:mergeCells>
  <x:pageMargins left="0.7" right="0.7" top="0.75" bottom="0.75" header="0.3" footer="0.3"/>
  <x:drawing xmlns:r="http://schemas.openxmlformats.org/officeDocument/2006/relationships" r:id="R96fad3d7772e4da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5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17" t="str">
        <x:v>Kontrollierter Antwortpilot</x:v>
      </x:c>
      <x:c r="B1" s="17" t="str">
        <x:v>Kontrollierter Antwortpilot</x:v>
      </x:c>
      <x:c r="C1" s="17" t="str">
        <x:v>Kontrollierter Antwortpilot</x:v>
      </x:c>
      <x:c r="D1" s="17" t="str">
        <x:v>Kontrollierter Antwortpilot</x:v>
      </x:c>
      <x:c r="E1" s="17" t="str">
        <x:v>Kontrollierter Antwortpilot</x:v>
      </x:c>
      <x:c r="F1" s="17" t="str">
        <x:v>Kontrollierter Antwortpilot</x:v>
      </x:c>
      <x:c r="G1" s="17" t="str">
        <x:v>Kontrollierter Antwortpilot</x:v>
      </x:c>
      <x:c r="H1" s="17" t="str">
        <x:v>Kontrollierter Antwortpilot</x:v>
      </x:c>
      <x:c r="I1" s="17" t="str">
        <x:v>Kontrollierter Antwortpilot</x:v>
      </x:c>
      <x:c r="J1" s="17" t="str">
        <x:v>Kontrollierter Antwortpilot</x:v>
      </x:c>
      <x:c r="K1" s="17" t="str">
        <x:v>Kontrollierter Antwortpilot</x:v>
      </x:c>
      <x:c r="L1" s="17" t="str">
        <x:v>Kontrollierter Antwortpilot</x:v>
      </x:c>
      <x:c r="M1" s="17" t="str">
        <x:v>Kontrollierter Antwortpilot</x:v>
      </x:c>
      <x:c r="N1" s="17" t="str">
        <x:v>Kontrollierter Antwortpilot</x:v>
      </x:c>
      <x:c r="O1" s="17" t="str">
        <x:v>Kontrollierter Antwortpilot</x:v>
      </x:c>
      <x:c r="P1" s="17" t="str">
        <x:v>Kontrollierter Antwortpilot</x:v>
      </x:c>
    </x:row>
    <x:row r="2" ht="22" customHeight="1">
      <x:c r="A2" s="19" t="str">
        <x:v>Systemverhalten: antworten · ablehnen · rückfragen. Kein allgemeiner LLM-Qualitätsscore.</x:v>
      </x:c>
      <x:c r="B2" s="19" t="str">
        <x:v>Systemverhalten: antworten · ablehnen · rückfragen. Kein allgemeiner LLM-Qualitätsscore.</x:v>
      </x:c>
      <x:c r="C2" s="19" t="str">
        <x:v>Systemverhalten: antworten · ablehnen · rückfragen. Kein allgemeiner LLM-Qualitätsscore.</x:v>
      </x:c>
      <x:c r="D2" s="19" t="str">
        <x:v>Systemverhalten: antworten · ablehnen · rückfragen. Kein allgemeiner LLM-Qualitätsscore.</x:v>
      </x:c>
      <x:c r="E2" s="19" t="str">
        <x:v>Systemverhalten: antworten · ablehnen · rückfragen. Kein allgemeiner LLM-Qualitätsscore.</x:v>
      </x:c>
      <x:c r="F2" s="19" t="str">
        <x:v>Systemverhalten: antworten · ablehnen · rückfragen. Kein allgemeiner LLM-Qualitätsscore.</x:v>
      </x:c>
      <x:c r="G2" s="19" t="str">
        <x:v>Systemverhalten: antworten · ablehnen · rückfragen. Kein allgemeiner LLM-Qualitätsscore.</x:v>
      </x:c>
      <x:c r="H2" s="19" t="str">
        <x:v>Systemverhalten: antworten · ablehnen · rückfragen. Kein allgemeiner LLM-Qualitätsscore.</x:v>
      </x:c>
      <x:c r="I2" s="19" t="str">
        <x:v>Systemverhalten: antworten · ablehnen · rückfragen. Kein allgemeiner LLM-Qualitätsscore.</x:v>
      </x:c>
      <x:c r="J2" s="19" t="str">
        <x:v>Systemverhalten: antworten · ablehnen · rückfragen. Kein allgemeiner LLM-Qualitätsscore.</x:v>
      </x:c>
      <x:c r="K2" s="19" t="str">
        <x:v>Systemverhalten: antworten · ablehnen · rückfragen. Kein allgemeiner LLM-Qualitätsscore.</x:v>
      </x:c>
      <x:c r="L2" s="19" t="str">
        <x:v>Systemverhalten: antworten · ablehnen · rückfragen. Kein allgemeiner LLM-Qualitätsscore.</x:v>
      </x:c>
      <x:c r="M2" s="19" t="str">
        <x:v>Systemverhalten: antworten · ablehnen · rückfragen. Kein allgemeiner LLM-Qualitätsscore.</x:v>
      </x:c>
      <x:c r="N2" s="19" t="str">
        <x:v>Systemverhalten: antworten · ablehnen · rückfragen. Kein allgemeiner LLM-Qualitätsscore.</x:v>
      </x:c>
      <x:c r="O2" s="19" t="str">
        <x:v>Systemverhalten: antworten · ablehnen · rückfragen. Kein allgemeiner LLM-Qualitätsscore.</x:v>
      </x:c>
      <x:c r="P2" s="19" t="str">
        <x:v>Systemverhalten: antworten · ablehnen · rückfragen. Kein allgemeiner LLM-Qualitätsscore.</x:v>
      </x:c>
    </x:row>
    <x:row r="4">
      <x:c r="A4" s="29" t="str">
        <x:v>Fragen</x:v>
      </x:c>
      <x:c r="B4" s="30" t="str">
        <x:v>Fragen</x:v>
      </x:c>
      <x:c r="C4" s="30" t="str">
        <x:v>Fragen</x:v>
      </x:c>
      <x:c r="D4" s="31" t="str">
        <x:v>Fragen</x:v>
      </x:c>
      <x:c r="E4" s="29" t="str">
        <x:v>Läufe</x:v>
      </x:c>
      <x:c r="F4" s="30" t="str">
        <x:v>Läufe</x:v>
      </x:c>
      <x:c r="G4" s="30" t="str">
        <x:v>Läufe</x:v>
      </x:c>
      <x:c r="H4" s="31" t="str">
        <x:v>Läufe</x:v>
      </x:c>
      <x:c r="I4" s="29" t="str">
        <x:v>Erwartete Aktion</x:v>
      </x:c>
      <x:c r="J4" s="30" t="str">
        <x:v>Erwartete Aktion</x:v>
      </x:c>
      <x:c r="K4" s="30" t="str">
        <x:v>Erwartete Aktion</x:v>
      </x:c>
      <x:c r="L4" s="31" t="str">
        <x:v>Erwartete Aktion</x:v>
      </x:c>
      <x:c r="M4" s="29" t="str">
        <x:v>Exakte Reproduzierbarkeit</x:v>
      </x:c>
      <x:c r="N4" s="30" t="str">
        <x:v>Exakte Reproduzierbarkeit</x:v>
      </x:c>
      <x:c r="O4" s="30" t="str">
        <x:v>Exakte Reproduzierbarkeit</x:v>
      </x:c>
      <x:c r="P4" s="31" t="str">
        <x:v>Exakte Reproduzierbarkeit</x:v>
      </x:c>
    </x:row>
    <x:row r="5">
      <x:c r="A5" s="107" t="n">
        <x:f>COUNTA(Pilot_Rohdaten!A2:A19)/3</x:f>
        <x:v>6</x:v>
      </x:c>
      <x:c r="B5" s="20"/>
      <x:c r="C5" s="20"/>
      <x:c r="D5" s="25"/>
      <x:c r="E5" s="131" t="n">
        <x:f>COUNTA(Pilot_Rohdaten!A2:A19)</x:f>
        <x:v>18</x:v>
      </x:c>
      <x:c r="F5" s="20"/>
      <x:c r="G5" s="20"/>
      <x:c r="H5" s="25"/>
      <x:c r="I5" s="133" t="n">
        <x:f>SUM(Pilot_Rohdaten!G2:G19)/COUNTA(Pilot_Rohdaten!G2:G19)</x:f>
        <x:v>1</x:v>
      </x:c>
      <x:c r="J5" s="20"/>
      <x:c r="K5" s="20"/>
      <x:c r="L5" s="25"/>
      <x:c r="M5" s="135" t="n">
        <x:f>SUM(Pilot_Rohdaten!J2:J19)/COUNTA(Pilot_Rohdaten!J2:J19)</x:f>
        <x:v>1</x:v>
      </x:c>
      <x:c r="N5" s="20"/>
      <x:c r="O5" s="20"/>
      <x:c r="P5" s="25"/>
    </x:row>
    <x:row r="6">
      <x:c r="A6" s="24"/>
      <x:c r="B6" s="20"/>
      <x:c r="C6" s="20"/>
      <x:c r="D6" s="25"/>
      <x:c r="E6" s="24"/>
      <x:c r="F6" s="20"/>
      <x:c r="G6" s="20"/>
      <x:c r="H6" s="25"/>
      <x:c r="I6" s="24"/>
      <x:c r="J6" s="20"/>
      <x:c r="K6" s="20"/>
      <x:c r="L6" s="25"/>
      <x:c r="M6" s="24"/>
      <x:c r="N6" s="20"/>
      <x:c r="O6" s="20"/>
      <x:c r="P6" s="25"/>
    </x:row>
    <x:row r="7">
      <x:c r="A7" s="35" t="str">
        <x:v>2 beantwortbar · 2 unbelegbar · 2 mehrdeutig</x:v>
      </x:c>
      <x:c r="B7" s="36" t="str">
        <x:v>2 beantwortbar · 2 unbelegbar · 2 mehrdeutig</x:v>
      </x:c>
      <x:c r="C7" s="36" t="str">
        <x:v>2 beantwortbar · 2 unbelegbar · 2 mehrdeutig</x:v>
      </x:c>
      <x:c r="D7" s="37" t="str">
        <x:v>2 beantwortbar · 2 unbelegbar · 2 mehrdeutig</x:v>
      </x:c>
      <x:c r="E7" s="35" t="str">
        <x:v>drei Wiederholungen je Frage</x:v>
      </x:c>
      <x:c r="F7" s="36" t="str">
        <x:v>drei Wiederholungen je Frage</x:v>
      </x:c>
      <x:c r="G7" s="36" t="str">
        <x:v>drei Wiederholungen je Frage</x:v>
      </x:c>
      <x:c r="H7" s="37" t="str">
        <x:v>drei Wiederholungen je Frage</x:v>
      </x:c>
      <x:c r="I7" s="35" t="str">
        <x:v>18 von 18</x:v>
      </x:c>
      <x:c r="J7" s="36" t="str">
        <x:v>18 von 18</x:v>
      </x:c>
      <x:c r="K7" s="36" t="str">
        <x:v>18 von 18</x:v>
      </x:c>
      <x:c r="L7" s="37" t="str">
        <x:v>18 von 18</x:v>
      </x:c>
      <x:c r="M7" s="35" t="str">
        <x:v>gleiche Konfiguration</x:v>
      </x:c>
      <x:c r="N7" s="36" t="str">
        <x:v>gleiche Konfiguration</x:v>
      </x:c>
      <x:c r="O7" s="36" t="str">
        <x:v>gleiche Konfiguration</x:v>
      </x:c>
      <x:c r="P7" s="37" t="str">
        <x:v>gleiche Konfiguration</x:v>
      </x:c>
    </x:row>
    <x:row r="10" ht="24" customHeight="1">
      <x:c r="A10" s="75" t="str">
        <x:v>Versuchsdesign</x:v>
      </x:c>
      <x:c r="B10" s="76" t="str">
        <x:v>Versuchsdesign</x:v>
      </x:c>
      <x:c r="C10" s="76" t="str">
        <x:v>Versuchsdesign</x:v>
      </x:c>
      <x:c r="D10" s="76" t="str">
        <x:v>Versuchsdesign</x:v>
      </x:c>
      <x:c r="E10" s="76" t="str">
        <x:v>Versuchsdesign</x:v>
      </x:c>
      <x:c r="F10" s="76" t="str">
        <x:v>Versuchsdesign</x:v>
      </x:c>
      <x:c r="G10" s="76" t="str">
        <x:v>Versuchsdesign</x:v>
      </x:c>
      <x:c r="H10" s="76" t="str">
        <x:v>Versuchsdesign</x:v>
      </x:c>
      <x:c r="I10" s="76" t="str">
        <x:v>Versuchsdesign</x:v>
      </x:c>
      <x:c r="J10" s="76" t="str">
        <x:v>Versuchsdesign</x:v>
      </x:c>
      <x:c r="K10" s="76" t="str">
        <x:v>Versuchsdesign</x:v>
      </x:c>
      <x:c r="L10" s="76" t="str">
        <x:v>Versuchsdesign</x:v>
      </x:c>
      <x:c r="M10" s="76" t="str">
        <x:v>Versuchsdesign</x:v>
      </x:c>
      <x:c r="N10" s="76" t="str">
        <x:v>Versuchsdesign</x:v>
      </x:c>
      <x:c r="O10" s="76" t="str">
        <x:v>Versuchsdesign</x:v>
      </x:c>
      <x:c r="P10" s="77" t="str">
        <x:v>Versuchsdesign</x:v>
      </x:c>
    </x:row>
    <x:row r="11">
      <x:c r="A11" s="97" t="str">
        <x:v>Zwei strukturierte Faktenfragen werden aus Field-Evidenz beantwortet. Zwei mehrdeutige Fragen führen regelbasiert zu einer Rückfrage. Zwei unbelegbare Fragen werden mit dem lokalen llama3.2:3b und konservativem Prompt abgelehnt. Deterministische Dekodierung, Seed 42. Der Pilot bewertet die Antwortpolitik des Gesamtsystems, nicht sechs frei generierte Antworten.</x:v>
      </x:c>
      <x:c r="B11" s="98"/>
      <x:c r="C11" s="98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9"/>
    </x:row>
    <x:row r="12">
      <x:c r="A12" s="100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2"/>
    </x:row>
    <x:row r="13">
      <x:c r="A13" s="103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5"/>
    </x:row>
    <x:row r="15" ht="28" customHeight="1">
      <x:c r="A15" s="6" t="str">
        <x:v>ID</x:v>
      </x:c>
      <x:c r="B15" s="6" t="str">
        <x:v>Kategorie</x:v>
      </x:c>
      <x:c r="C15" s="6" t="str">
        <x:v>Frage</x:v>
      </x:c>
      <x:c r="D15" s="6" t="str">
        <x:v>erwartet</x:v>
      </x:c>
      <x:c r="E15" s="6" t="str">
        <x:v>beobachtet</x:v>
      </x:c>
      <x:c r="F15" s="6" t="str">
        <x:v>korrekt</x:v>
      </x:c>
      <x:c r="G15" s="6" t="str">
        <x:v>reproduzierbar</x:v>
      </x:c>
    </x:row>
    <x:row r="16">
      <x:c r="A16" s="13" t="str">
        <x:f>Pilot_Rohdaten!A2</x:f>
        <x:v>a01</x:v>
      </x:c>
      <x:c r="B16" s="13" t="str">
        <x:f>Pilot_Rohdaten!B2</x:f>
        <x:v>answerable</x:v>
      </x:c>
      <x:c r="C16" s="13" t="str">
        <x:f>Pilot_Rohdaten!C2</x:f>
        <x:v>Wie viele ECTS hat WP3 Information Retrieval?</x:v>
      </x:c>
      <x:c r="D16" s="13" t="str">
        <x:f>Pilot_Rohdaten!D2</x:f>
        <x:v>answer</x:v>
      </x:c>
      <x:c r="E16" s="13" t="str">
        <x:f>Pilot_Rohdaten!F2</x:f>
        <x:v>answer</x:v>
      </x:c>
      <x:c r="F16" s="13" t="n">
        <x:f>Pilot_Rohdaten!G2</x:f>
        <x:v>1</x:v>
      </x:c>
      <x:c r="G16" s="13" t="n">
        <x:f>Pilot_Rohdaten!J2</x:f>
        <x:v>1</x:v>
      </x:c>
    </x:row>
    <x:row r="17">
      <x:c r="A17" s="13" t="str">
        <x:f>Pilot_Rohdaten!A5</x:f>
        <x:v>a02</x:v>
      </x:c>
      <x:c r="B17" s="13" t="str">
        <x:f>Pilot_Rohdaten!B5</x:f>
        <x:v>answerable</x:v>
      </x:c>
      <x:c r="C17" s="13" t="str">
        <x:f>Pilot_Rohdaten!C5</x:f>
        <x:v>Wer ist für P10 Statistische Methoden in der Sprachverarbeitung verantwortlich?</x:v>
      </x:c>
      <x:c r="D17" s="13" t="str">
        <x:f>Pilot_Rohdaten!D5</x:f>
        <x:v>answer</x:v>
      </x:c>
      <x:c r="E17" s="13" t="str">
        <x:f>Pilot_Rohdaten!F5</x:f>
        <x:v>answer</x:v>
      </x:c>
      <x:c r="F17" s="13" t="n">
        <x:f>Pilot_Rohdaten!G5</x:f>
        <x:v>1</x:v>
      </x:c>
      <x:c r="G17" s="13" t="n">
        <x:f>Pilot_Rohdaten!J5</x:f>
        <x:v>1</x:v>
      </x:c>
    </x:row>
    <x:row r="18">
      <x:c r="A18" s="13" t="str">
        <x:f>Pilot_Rohdaten!A8</x:f>
        <x:v>u01</x:v>
      </x:c>
      <x:c r="B18" s="13" t="str">
        <x:f>Pilot_Rohdaten!B8</x:f>
        <x:v>unsupported</x:v>
      </x:c>
      <x:c r="C18" s="13" t="str">
        <x:f>Pilot_Rohdaten!C8</x:f>
        <x:v>An welchem Datum findet die nächste Prüfung für WP3 Information Retrieval statt?</x:v>
      </x:c>
      <x:c r="D18" s="13" t="str">
        <x:f>Pilot_Rohdaten!D8</x:f>
        <x:v>abstain</x:v>
      </x:c>
      <x:c r="E18" s="13" t="str">
        <x:f>Pilot_Rohdaten!F8</x:f>
        <x:v>abstain</x:v>
      </x:c>
      <x:c r="F18" s="13" t="n">
        <x:f>Pilot_Rohdaten!G8</x:f>
        <x:v>1</x:v>
      </x:c>
      <x:c r="G18" s="13" t="n">
        <x:f>Pilot_Rohdaten!J8</x:f>
        <x:v>1</x:v>
      </x:c>
    </x:row>
    <x:row r="19">
      <x:c r="A19" s="13" t="str">
        <x:f>Pilot_Rohdaten!A11</x:f>
        <x:v>u02</x:v>
      </x:c>
      <x:c r="B19" s="13" t="str">
        <x:f>Pilot_Rohdaten!B11</x:f>
        <x:v>unsupported</x:v>
      </x:c>
      <x:c r="C19" s="13" t="str">
        <x:f>Pilot_Rohdaten!C11</x:f>
        <x:v>Wie lautet die E-Mail-Adresse der für P10 verantwortlichen Person?</x:v>
      </x:c>
      <x:c r="D19" s="13" t="str">
        <x:f>Pilot_Rohdaten!D11</x:f>
        <x:v>abstain</x:v>
      </x:c>
      <x:c r="E19" s="13" t="str">
        <x:f>Pilot_Rohdaten!F11</x:f>
        <x:v>abstain</x:v>
      </x:c>
      <x:c r="F19" s="13" t="n">
        <x:f>Pilot_Rohdaten!G11</x:f>
        <x:v>1</x:v>
      </x:c>
      <x:c r="G19" s="13" t="n">
        <x:f>Pilot_Rohdaten!J11</x:f>
        <x:v>1</x:v>
      </x:c>
    </x:row>
    <x:row r="20">
      <x:c r="A20" s="13" t="str">
        <x:f>Pilot_Rohdaten!A14</x:f>
        <x:v>c01</x:v>
      </x:c>
      <x:c r="B20" s="13" t="str">
        <x:f>Pilot_Rohdaten!B14</x:f>
        <x:v>ambiguous</x:v>
      </x:c>
      <x:c r="C20" s="13" t="str">
        <x:f>Pilot_Rohdaten!C14</x:f>
        <x:v>Wie viele ECTS hat P1?</x:v>
      </x:c>
      <x:c r="D20" s="13" t="str">
        <x:f>Pilot_Rohdaten!D14</x:f>
        <x:v>clarify</x:v>
      </x:c>
      <x:c r="E20" s="13" t="str">
        <x:f>Pilot_Rohdaten!F14</x:f>
        <x:v>clarify</x:v>
      </x:c>
      <x:c r="F20" s="13" t="n">
        <x:f>Pilot_Rohdaten!G14</x:f>
        <x:v>1</x:v>
      </x:c>
      <x:c r="G20" s="13" t="n">
        <x:f>Pilot_Rohdaten!J14</x:f>
        <x:v>1</x:v>
      </x:c>
    </x:row>
    <x:row r="21">
      <x:c r="A21" s="13" t="str">
        <x:f>Pilot_Rohdaten!A17</x:f>
        <x:v>c02</x:v>
      </x:c>
      <x:c r="B21" s="13" t="str">
        <x:f>Pilot_Rohdaten!B17</x:f>
        <x:v>ambiguous</x:v>
      </x:c>
      <x:c r="C21" s="13" t="str">
        <x:f>Pilot_Rohdaten!C17</x:f>
        <x:v>Wer ist für WP3 verantwortlich?</x:v>
      </x:c>
      <x:c r="D21" s="13" t="str">
        <x:f>Pilot_Rohdaten!D17</x:f>
        <x:v>clarify</x:v>
      </x:c>
      <x:c r="E21" s="13" t="str">
        <x:f>Pilot_Rohdaten!F17</x:f>
        <x:v>clarify</x:v>
      </x:c>
      <x:c r="F21" s="13" t="n">
        <x:f>Pilot_Rohdaten!G17</x:f>
        <x:v>1</x:v>
      </x:c>
      <x:c r="G21" s="13" t="n">
        <x:f>Pilot_Rohdaten!J17</x:f>
        <x:v>1</x:v>
      </x:c>
    </x:row>
    <x:row r="24">
      <x:c r="A24" s="143" t="str">
        <x:v>Grenze: n=6 einzigartige Fragen. Für offene Zusammenfassungen wären Faktenabdeckung, Faithfulness, sprachliche Qualität und menschliche Bewertungen erforderlich.</x:v>
      </x:c>
      <x:c r="B24" s="144"/>
      <x:c r="C24" s="144"/>
      <x:c r="D24" s="144"/>
      <x:c r="E24" s="144"/>
      <x:c r="F24" s="144"/>
      <x:c r="G24" s="144"/>
      <x:c r="H24" s="144"/>
      <x:c r="I24" s="144"/>
      <x:c r="J24" s="144"/>
      <x:c r="K24" s="144"/>
      <x:c r="L24" s="144"/>
      <x:c r="M24" s="144"/>
      <x:c r="N24" s="144"/>
      <x:c r="O24" s="144"/>
      <x:c r="P24" s="145"/>
    </x:row>
    <x:row r="25">
      <x:c r="A25" s="146"/>
      <x:c r="B25" s="147"/>
      <x:c r="C25" s="147"/>
      <x:c r="D25" s="147"/>
      <x:c r="E25" s="147"/>
      <x:c r="F25" s="147"/>
      <x:c r="G25" s="147"/>
      <x:c r="H25" s="147"/>
      <x:c r="I25" s="147"/>
      <x:c r="J25" s="147"/>
      <x:c r="K25" s="147"/>
      <x:c r="L25" s="147"/>
      <x:c r="M25" s="147"/>
      <x:c r="N25" s="147"/>
      <x:c r="O25" s="147"/>
      <x:c r="P25" s="148"/>
    </x:row>
  </x:sheetData>
  <x:mergeCells>
    <x:mergeCell ref="A1:P1"/>
    <x:mergeCell ref="A2:P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P4"/>
    <x:mergeCell ref="M5:P6"/>
    <x:mergeCell ref="M7:P7"/>
    <x:mergeCell ref="A10:P10"/>
    <x:mergeCell ref="A11:P13"/>
    <x:mergeCell ref="A24:P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17" t="str">
        <x:v>Methodik und Leseregeln</x:v>
      </x:c>
      <x:c r="B1" s="17" t="str">
        <x:v>Methodik und Leseregeln</x:v>
      </x:c>
      <x:c r="C1" s="17" t="str">
        <x:v>Methodik und Leseregeln</x:v>
      </x:c>
      <x:c r="D1" s="17" t="str">
        <x:v>Methodik und Leseregeln</x:v>
      </x:c>
      <x:c r="E1" s="17" t="str">
        <x:v>Methodik und Leseregeln</x:v>
      </x:c>
      <x:c r="F1" s="17" t="str">
        <x:v>Methodik und Leseregeln</x:v>
      </x:c>
      <x:c r="G1" s="17" t="str">
        <x:v>Methodik und Leseregeln</x:v>
      </x:c>
      <x:c r="H1" s="17" t="str">
        <x:v>Methodik und Leseregeln</x:v>
      </x:c>
      <x:c r="I1" s="17" t="str">
        <x:v>Methodik und Leseregeln</x:v>
      </x:c>
      <x:c r="J1" s="17" t="str">
        <x:v>Methodik und Leseregeln</x:v>
      </x:c>
      <x:c r="K1" s="17" t="str">
        <x:v>Methodik und Leseregeln</x:v>
      </x:c>
      <x:c r="L1" s="17" t="str">
        <x:v>Methodik und Leseregeln</x:v>
      </x:c>
      <x:c r="M1" s="17" t="str">
        <x:v>Methodik und Leseregeln</x:v>
      </x:c>
      <x:c r="N1" s="17" t="str">
        <x:v>Methodik und Leseregeln</x:v>
      </x:c>
      <x:c r="O1" s="17" t="str">
        <x:v>Methodik und Leseregeln</x:v>
      </x:c>
      <x:c r="P1" s="17" t="str">
        <x:v>Methodik und Leseregeln</x:v>
      </x:c>
    </x:row>
    <x:row r="2" ht="22" customHeight="1">
      <x:c r="A2" s="19" t="str">
        <x:v>Die drei Evaluationsblöcke beantworten unterschiedliche Fragen und werden nicht vermischt.</x:v>
      </x:c>
      <x:c r="B2" s="19" t="str">
        <x:v>Die drei Evaluationsblöcke beantworten unterschiedliche Fragen und werden nicht vermischt.</x:v>
      </x:c>
      <x:c r="C2" s="19" t="str">
        <x:v>Die drei Evaluationsblöcke beantworten unterschiedliche Fragen und werden nicht vermischt.</x:v>
      </x:c>
      <x:c r="D2" s="19" t="str">
        <x:v>Die drei Evaluationsblöcke beantworten unterschiedliche Fragen und werden nicht vermischt.</x:v>
      </x:c>
      <x:c r="E2" s="19" t="str">
        <x:v>Die drei Evaluationsblöcke beantworten unterschiedliche Fragen und werden nicht vermischt.</x:v>
      </x:c>
      <x:c r="F2" s="19" t="str">
        <x:v>Die drei Evaluationsblöcke beantworten unterschiedliche Fragen und werden nicht vermischt.</x:v>
      </x:c>
      <x:c r="G2" s="19" t="str">
        <x:v>Die drei Evaluationsblöcke beantworten unterschiedliche Fragen und werden nicht vermischt.</x:v>
      </x:c>
      <x:c r="H2" s="19" t="str">
        <x:v>Die drei Evaluationsblöcke beantworten unterschiedliche Fragen und werden nicht vermischt.</x:v>
      </x:c>
      <x:c r="I2" s="19" t="str">
        <x:v>Die drei Evaluationsblöcke beantworten unterschiedliche Fragen und werden nicht vermischt.</x:v>
      </x:c>
      <x:c r="J2" s="19" t="str">
        <x:v>Die drei Evaluationsblöcke beantworten unterschiedliche Fragen und werden nicht vermischt.</x:v>
      </x:c>
      <x:c r="K2" s="19" t="str">
        <x:v>Die drei Evaluationsblöcke beantworten unterschiedliche Fragen und werden nicht vermischt.</x:v>
      </x:c>
      <x:c r="L2" s="19" t="str">
        <x:v>Die drei Evaluationsblöcke beantworten unterschiedliche Fragen und werden nicht vermischt.</x:v>
      </x:c>
      <x:c r="M2" s="19" t="str">
        <x:v>Die drei Evaluationsblöcke beantworten unterschiedliche Fragen und werden nicht vermischt.</x:v>
      </x:c>
      <x:c r="N2" s="19" t="str">
        <x:v>Die drei Evaluationsblöcke beantworten unterschiedliche Fragen und werden nicht vermischt.</x:v>
      </x:c>
      <x:c r="O2" s="19" t="str">
        <x:v>Die drei Evaluationsblöcke beantworten unterschiedliche Fragen und werden nicht vermischt.</x:v>
      </x:c>
      <x:c r="P2" s="19" t="str">
        <x:v>Die drei Evaluationsblöcke beantworten unterschiedliche Fragen und werden nicht vermischt.</x:v>
      </x:c>
    </x:row>
    <x:row r="4" ht="24" customHeight="1">
      <x:c r="A4" s="75" t="str">
        <x:v>Evaluationsblöcke</x:v>
      </x:c>
      <x:c r="B4" s="76" t="str">
        <x:v>Evaluationsblöcke</x:v>
      </x:c>
      <x:c r="C4" s="76" t="str">
        <x:v>Evaluationsblöcke</x:v>
      </x:c>
      <x:c r="D4" s="76" t="str">
        <x:v>Evaluationsblöcke</x:v>
      </x:c>
      <x:c r="E4" s="76" t="str">
        <x:v>Evaluationsblöcke</x:v>
      </x:c>
      <x:c r="F4" s="76" t="str">
        <x:v>Evaluationsblöcke</x:v>
      </x:c>
      <x:c r="G4" s="76" t="str">
        <x:v>Evaluationsblöcke</x:v>
      </x:c>
      <x:c r="H4" s="76" t="str">
        <x:v>Evaluationsblöcke</x:v>
      </x:c>
      <x:c r="I4" s="76" t="str">
        <x:v>Evaluationsblöcke</x:v>
      </x:c>
      <x:c r="J4" s="76" t="str">
        <x:v>Evaluationsblöcke</x:v>
      </x:c>
      <x:c r="K4" s="76" t="str">
        <x:v>Evaluationsblöcke</x:v>
      </x:c>
      <x:c r="L4" s="76" t="str">
        <x:v>Evaluationsblöcke</x:v>
      </x:c>
      <x:c r="M4" s="76" t="str">
        <x:v>Evaluationsblöcke</x:v>
      </x:c>
      <x:c r="N4" s="76" t="str">
        <x:v>Evaluationsblöcke</x:v>
      </x:c>
      <x:c r="O4" s="76" t="str">
        <x:v>Evaluationsblöcke</x:v>
      </x:c>
      <x:c r="P4" s="77" t="str">
        <x:v>Evaluationsblöcke</x:v>
      </x:c>
    </x:row>
    <x:row r="5" ht="28" customHeight="1">
      <x:c r="A5" s="6" t="str">
        <x:v>Block</x:v>
      </x:c>
      <x:c r="B5" s="6"/>
      <x:c r="C5" s="6"/>
      <x:c r="D5" s="6"/>
      <x:c r="E5" s="6" t="str">
        <x:v>Einheit</x:v>
      </x:c>
      <x:c r="F5" s="6"/>
      <x:c r="G5" s="6"/>
      <x:c r="H5" s="6"/>
      <x:c r="I5" s="6" t="str">
        <x:v>Goldbasis</x:v>
      </x:c>
      <x:c r="J5" s="6"/>
      <x:c r="K5" s="6"/>
      <x:c r="L5" s="6"/>
      <x:c r="M5" s="6" t="str">
        <x:v>Zweck</x:v>
      </x:c>
      <x:c r="N5" s="6"/>
      <x:c r="O5" s="6"/>
      <x:c r="P5" s="6"/>
    </x:row>
    <x:row r="6">
      <x:c r="A6" s="13" t="str">
        <x:v>Modulfund</x:v>
      </x:c>
      <x:c r="B6" s="13"/>
      <x:c r="C6" s="13"/>
      <x:c r="D6" s="13"/>
      <x:c r="E6" s="13" t="str">
        <x:v>Dokument + Modul</x:v>
      </x:c>
      <x:c r="F6" s="13"/>
      <x:c r="G6" s="13"/>
      <x:c r="H6" s="13"/>
      <x:c r="I6" s="13" t="str">
        <x:v>CL-BSc · 25 deutsche Fragen</x:v>
      </x:c>
      <x:c r="J6" s="13"/>
      <x:c r="K6" s="13"/>
      <x:c r="L6" s="13"/>
      <x:c r="M6" s="13" t="str">
        <x:v>Navigation zum richtigen Moduleintrag</x:v>
      </x:c>
      <x:c r="N6" s="13"/>
      <x:c r="O6" s="13"/>
      <x:c r="P6" s="13"/>
    </x:row>
    <x:row r="7">
      <x:c r="A7" s="13" t="str">
        <x:v>Feldgenau strict</x:v>
      </x:c>
      <x:c r="B7" s="13"/>
      <x:c r="C7" s="13"/>
      <x:c r="D7" s="13"/>
      <x:c r="E7" s="13" t="str">
        <x:v>Dokument + Modul + Abschnitt</x:v>
      </x:c>
      <x:c r="F7" s="13"/>
      <x:c r="G7" s="13"/>
      <x:c r="H7" s="13"/>
      <x:c r="I7" s="13" t="str">
        <x:v>CL-BSc · 25 DE / 18 DE-EN-TR</x:v>
      </x:c>
      <x:c r="J7" s="13"/>
      <x:c r="K7" s="13"/>
      <x:c r="L7" s="13"/>
      <x:c r="M7" s="13" t="str">
        <x:v>Belegstelle für RAG-Evidenz</x:v>
      </x:c>
      <x:c r="N7" s="13"/>
      <x:c r="O7" s="13"/>
      <x:c r="P7" s="13"/>
    </x:row>
    <x:row r="8">
      <x:c r="A8" s="13" t="str">
        <x:v>Korpus-Stress</x:v>
      </x:c>
      <x:c r="B8" s="13"/>
      <x:c r="C8" s="13"/>
      <x:c r="D8" s="13"/>
      <x:c r="E8" s="13" t="str">
        <x:v>Chunk- und ID-Integrität</x:v>
      </x:c>
      <x:c r="F8" s="13"/>
      <x:c r="G8" s="13"/>
      <x:c r="H8" s="13"/>
      <x:c r="I8" s="13" t="str">
        <x:v>4 Dokumente / 7 PDFs</x:v>
      </x:c>
      <x:c r="J8" s="13"/>
      <x:c r="K8" s="13"/>
      <x:c r="L8" s="13"/>
      <x:c r="M8" s="13" t="str">
        <x:v>Robustheit, keine Qualitätsnote weiterer Handbücher</x:v>
      </x:c>
      <x:c r="N8" s="13"/>
      <x:c r="O8" s="13"/>
      <x:c r="P8" s="13"/>
    </x:row>
    <x:row r="9">
      <x:c r="A9" s="13" t="str">
        <x:v>Antwortpilot</x:v>
      </x:c>
      <x:c r="B9" s="13"/>
      <x:c r="C9" s="13"/>
      <x:c r="D9" s="13"/>
      <x:c r="E9" s="13" t="str">
        <x:v>erwartete Systemaktion</x:v>
      </x:c>
      <x:c r="F9" s="13"/>
      <x:c r="G9" s="13"/>
      <x:c r="H9" s="13"/>
      <x:c r="I9" s="13" t="str">
        <x:v>6 Fragen × 3 Läufe</x:v>
      </x:c>
      <x:c r="J9" s="13"/>
      <x:c r="K9" s="13"/>
      <x:c r="L9" s="13"/>
      <x:c r="M9" s="13" t="str">
        <x:v>Antworten, Ablehnen, Rückfragen</x:v>
      </x:c>
      <x:c r="N9" s="13"/>
      <x:c r="O9" s="13"/>
      <x:c r="P9" s="13"/>
    </x:row>
    <x:row r="12" ht="24" customHeight="1">
      <x:c r="A12" s="75" t="str">
        <x:v>Metriken</x:v>
      </x:c>
      <x:c r="B12" s="76" t="str">
        <x:v>Metriken</x:v>
      </x:c>
      <x:c r="C12" s="76" t="str">
        <x:v>Metriken</x:v>
      </x:c>
      <x:c r="D12" s="76" t="str">
        <x:v>Metriken</x:v>
      </x:c>
      <x:c r="E12" s="76" t="str">
        <x:v>Metriken</x:v>
      </x:c>
      <x:c r="F12" s="76" t="str">
        <x:v>Metriken</x:v>
      </x:c>
      <x:c r="G12" s="76" t="str">
        <x:v>Metriken</x:v>
      </x:c>
      <x:c r="H12" s="76" t="str">
        <x:v>Metriken</x:v>
      </x:c>
      <x:c r="I12" s="76" t="str">
        <x:v>Metriken</x:v>
      </x:c>
      <x:c r="J12" s="76" t="str">
        <x:v>Metriken</x:v>
      </x:c>
      <x:c r="K12" s="76" t="str">
        <x:v>Metriken</x:v>
      </x:c>
      <x:c r="L12" s="76" t="str">
        <x:v>Metriken</x:v>
      </x:c>
      <x:c r="M12" s="76" t="str">
        <x:v>Metriken</x:v>
      </x:c>
      <x:c r="N12" s="76" t="str">
        <x:v>Metriken</x:v>
      </x:c>
      <x:c r="O12" s="76" t="str">
        <x:v>Metriken</x:v>
      </x:c>
      <x:c r="P12" s="77" t="str">
        <x:v>Metriken</x:v>
      </x:c>
    </x:row>
    <x:row r="13">
      <x:c r="A13" s="13" t="str">
        <x:v>Hit@1</x:v>
      </x:c>
      <x:c r="B13" s="13" t="str">
        <x:v>Ist Rang 1 korrekt?</x:v>
      </x:c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 t="str">
        <x:v>MRR</x:v>
      </x:c>
      <x:c r="B14" s="13" t="str">
        <x:v>Wie früh erscheint der erste korrekte Schlüssel?</x:v>
      </x:c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 t="str">
        <x:v>nDCG@3</x:v>
      </x:c>
      <x:c r="B15" s="13" t="str">
        <x:v>Wie gut ist die Reihenfolge mehrerer relevanter Schlüssel?</x:v>
      </x:c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 t="str">
        <x:v>Recall@3</x:v>
      </x:c>
      <x:c r="B16" s="13" t="str">
        <x:v>Welcher Anteil aller Gold-Schlüssel liegt in den Top 3?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 t="str">
        <x:v>Precision@3</x:v>
      </x:c>
      <x:c r="B17" s="13" t="str">
        <x:v>Welcher Anteil der drei Plätze ist relevant? Bei einem Gold-Schlüssel maximal 1/3.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20" ht="28" customHeight="1">
      <x:c r="A20" s="87" t="str">
        <x:v>Stichprobe</x:v>
      </x:c>
      <x:c r="B20" s="87" t="str">
        <x:v>Schrittweite</x:v>
      </x:c>
      <x:c r="C20" s="87" t="str">
        <x:v>Konsequenz</x:v>
      </x:c>
      <x:c r="D20" s="87"/>
      <x:c r="F20" s="159" t="str">
        <x:v>Hybrid-Fusion: Score = α · Dense_norm + (1−α) · BM25_norm. α bezeichnet den Dense-Anteil. Ergebnisse dieses kleinen, stark strukturierten Korpus dürfen nicht als allgemeine Überlegenheit eines Retrievers interpretiert werden.</x:v>
      </x:c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1"/>
    </x:row>
    <x:row r="21">
      <x:c r="A21" s="13" t="str">
        <x:v>Deutsch n=25</x:v>
      </x:c>
      <x:c r="B21" s="15" t="n">
        <x:f>1/25</x:f>
        <x:v>0.04</x:v>
      </x:c>
      <x:c r="C21" s="13" t="str">
        <x:v>Eine Frage verändert Hit@1 um 0,040.</x:v>
      </x:c>
      <x:c r="D21" s="13"/>
      <x:c r="F21" s="162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4"/>
    </x:row>
    <x:row r="22">
      <x:c r="A22" s="13" t="str">
        <x:v>Mehrsprachig n=18</x:v>
      </x:c>
      <x:c r="B22" s="15" t="n">
        <x:f>1/18</x:f>
        <x:v>0.05555555555555555</x:v>
      </x:c>
      <x:c r="C22" s="13" t="str">
        <x:v>Eine Frage verändert Hit@1 um 0,056.</x:v>
      </x:c>
      <x:c r="D22" s="13"/>
      <x:c r="F22" s="165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7"/>
    </x:row>
  </x:sheetData>
  <x:mergeCells>
    <x:mergeCell ref="A1:P1"/>
    <x:mergeCell ref="A2:P2"/>
    <x:mergeCell ref="A4:P4"/>
    <x:mergeCell ref="A6:D6"/>
    <x:mergeCell ref="E6:H6"/>
    <x:mergeCell ref="I6:L6"/>
    <x:mergeCell ref="M6:P6"/>
    <x:mergeCell ref="A7:D7"/>
    <x:mergeCell ref="E7:H7"/>
    <x:mergeCell ref="I7:L7"/>
    <x:mergeCell ref="M7:P7"/>
    <x:mergeCell ref="A8:D8"/>
    <x:mergeCell ref="E8:H8"/>
    <x:mergeCell ref="I8:L8"/>
    <x:mergeCell ref="M8:P8"/>
    <x:mergeCell ref="A9:D9"/>
    <x:mergeCell ref="E9:H9"/>
    <x:mergeCell ref="I9:L9"/>
    <x:mergeCell ref="M9:P9"/>
    <x:mergeCell ref="A12:P12"/>
    <x:mergeCell ref="B13:P13"/>
    <x:mergeCell ref="B14:P14"/>
    <x:mergeCell ref="B15:P15"/>
    <x:mergeCell ref="B16:P16"/>
    <x:mergeCell ref="B17:P17"/>
    <x:mergeCell ref="C21:D21"/>
    <x:mergeCell ref="C22:D22"/>
    <x:mergeCell ref="F20:P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5" hidden="0" customWidth="1"/>
  </x:cols>
  <x:sheetData>
    <x:row r="1" ht="34" customHeight="1">
      <x:c r="A1" s="17" t="str">
        <x:v>Reproduktion</x:v>
      </x:c>
      <x:c r="B1" s="17" t="str">
        <x:v>Reproduktion</x:v>
      </x:c>
      <x:c r="C1" s="17" t="str">
        <x:v>Reproduktion</x:v>
      </x:c>
      <x:c r="D1" s="17" t="str">
        <x:v>Reproduktion</x:v>
      </x:c>
      <x:c r="E1" s="17" t="str">
        <x:v>Reproduktion</x:v>
      </x:c>
      <x:c r="F1" s="17" t="str">
        <x:v>Reproduktion</x:v>
      </x:c>
      <x:c r="G1" s="17" t="str">
        <x:v>Reproduktion</x:v>
      </x:c>
      <x:c r="H1" s="17" t="str">
        <x:v>Reproduktion</x:v>
      </x:c>
      <x:c r="I1" s="17" t="str">
        <x:v>Reproduktion</x:v>
      </x:c>
      <x:c r="J1" s="17" t="str">
        <x:v>Reproduktion</x:v>
      </x:c>
      <x:c r="K1" s="17" t="str">
        <x:v>Reproduktion</x:v>
      </x:c>
      <x:c r="L1" s="17" t="str">
        <x:v>Reproduktion</x:v>
      </x:c>
      <x:c r="M1" s="17" t="str">
        <x:v>Reproduktion</x:v>
      </x:c>
      <x:c r="N1" s="17" t="str">
        <x:v>Reproduktion</x:v>
      </x:c>
      <x:c r="O1" s="17" t="str">
        <x:v>Reproduktion</x:v>
      </x:c>
      <x:c r="P1" s="17" t="str">
        <x:v>Reproduktion</x:v>
      </x:c>
    </x:row>
    <x:row r="2" ht="22" customHeight="1">
      <x:c r="A2" s="19" t="str">
        <x:v>Kanonische Parameter, Hashes und Befehle des Abgabelaufs.</x:v>
      </x:c>
      <x:c r="B2" s="19" t="str">
        <x:v>Kanonische Parameter, Hashes und Befehle des Abgabelaufs.</x:v>
      </x:c>
      <x:c r="C2" s="19" t="str">
        <x:v>Kanonische Parameter, Hashes und Befehle des Abgabelaufs.</x:v>
      </x:c>
      <x:c r="D2" s="19" t="str">
        <x:v>Kanonische Parameter, Hashes und Befehle des Abgabelaufs.</x:v>
      </x:c>
      <x:c r="E2" s="19" t="str">
        <x:v>Kanonische Parameter, Hashes und Befehle des Abgabelaufs.</x:v>
      </x:c>
      <x:c r="F2" s="19" t="str">
        <x:v>Kanonische Parameter, Hashes und Befehle des Abgabelaufs.</x:v>
      </x:c>
      <x:c r="G2" s="19" t="str">
        <x:v>Kanonische Parameter, Hashes und Befehle des Abgabelaufs.</x:v>
      </x:c>
      <x:c r="H2" s="19" t="str">
        <x:v>Kanonische Parameter, Hashes und Befehle des Abgabelaufs.</x:v>
      </x:c>
      <x:c r="I2" s="19" t="str">
        <x:v>Kanonische Parameter, Hashes und Befehle des Abgabelaufs.</x:v>
      </x:c>
      <x:c r="J2" s="19" t="str">
        <x:v>Kanonische Parameter, Hashes und Befehle des Abgabelaufs.</x:v>
      </x:c>
      <x:c r="K2" s="19" t="str">
        <x:v>Kanonische Parameter, Hashes und Befehle des Abgabelaufs.</x:v>
      </x:c>
      <x:c r="L2" s="19" t="str">
        <x:v>Kanonische Parameter, Hashes und Befehle des Abgabelaufs.</x:v>
      </x:c>
      <x:c r="M2" s="19" t="str">
        <x:v>Kanonische Parameter, Hashes und Befehle des Abgabelaufs.</x:v>
      </x:c>
      <x:c r="N2" s="19" t="str">
        <x:v>Kanonische Parameter, Hashes und Befehle des Abgabelaufs.</x:v>
      </x:c>
      <x:c r="O2" s="19" t="str">
        <x:v>Kanonische Parameter, Hashes und Befehle des Abgabelaufs.</x:v>
      </x:c>
      <x:c r="P2" s="19" t="str">
        <x:v>Kanonische Parameter, Hashes und Befehle des Abgabelaufs.</x:v>
      </x:c>
    </x:row>
    <x:row r="4" ht="24" customHeight="1">
      <x:c r="A4" s="75" t="str">
        <x:v>Release-Identität</x:v>
      </x:c>
      <x:c r="B4" s="76" t="str">
        <x:v>Release-Identität</x:v>
      </x:c>
      <x:c r="C4" s="76" t="str">
        <x:v>Release-Identität</x:v>
      </x:c>
      <x:c r="D4" s="76" t="str">
        <x:v>Release-Identität</x:v>
      </x:c>
      <x:c r="E4" s="76" t="str">
        <x:v>Release-Identität</x:v>
      </x:c>
      <x:c r="F4" s="76" t="str">
        <x:v>Release-Identität</x:v>
      </x:c>
      <x:c r="G4" s="76" t="str">
        <x:v>Release-Identität</x:v>
      </x:c>
      <x:c r="H4" s="77" t="str">
        <x:v>Release-Identität</x:v>
      </x:c>
      <x:c r="J4" s="75" t="str">
        <x:v>Korpora</x:v>
      </x:c>
      <x:c r="K4" s="76"/>
      <x:c r="L4" s="76"/>
      <x:c r="M4" s="76"/>
      <x:c r="N4" s="76"/>
      <x:c r="O4" s="76"/>
      <x:c r="P4" s="77"/>
    </x:row>
    <x:row r="5">
      <x:c r="A5" s="168" t="str">
        <x:v>Git-Commit</x:v>
      </x:c>
      <x:c r="B5" s="13" t="str">
        <x:v>0d3bdc9df033f9823c287b2a7cb7b0c69acc7d64</x:v>
      </x:c>
      <x:c r="J5" s="169" t="str">
        <x:v>Offiziell</x:v>
      </x:c>
      <x:c r="K5" s="169"/>
      <x:c r="L5" s="169"/>
      <x:c r="M5" s="169"/>
      <x:c r="N5" s="169"/>
      <x:c r="O5" s="169"/>
      <x:c r="P5" s="169"/>
    </x:row>
    <x:row r="6">
      <x:c r="A6" s="168" t="str">
        <x:v>Python</x:v>
      </x:c>
      <x:c r="B6" s="13" t="str">
        <x:v>3.11.9</x:v>
      </x:c>
      <x:c r="J6" s="13" t="str">
        <x:v>lmu_computerlinguistik_bsc_stand_2025-09-24.pdf</x:v>
      </x:c>
      <x:c r="K6" s="13"/>
      <x:c r="L6" s="13"/>
      <x:c r="M6" s="13"/>
      <x:c r="N6" s="13"/>
      <x:c r="O6" s="13"/>
      <x:c r="P6" s="13"/>
    </x:row>
    <x:row r="7">
      <x:c r="A7" s="168" t="str">
        <x:v>Embedding-Modell</x:v>
      </x:c>
      <x:c r="B7" s="13" t="str">
        <x:v>sentence-transformers/paraphrase-multilingual-MiniLM-L12-v2</x:v>
      </x:c>
      <x:c r="J7" s="13"/>
      <x:c r="K7" s="13"/>
      <x:c r="L7" s="13"/>
      <x:c r="M7" s="13"/>
      <x:c r="N7" s="13"/>
      <x:c r="O7" s="13"/>
      <x:c r="P7" s="13"/>
    </x:row>
    <x:row r="8">
      <x:c r="A8" s="168" t="str">
        <x:v>Ollama-Modell</x:v>
      </x:c>
      <x:c r="B8" s="13" t="str">
        <x:v>llama3.2:3b</x:v>
      </x:c>
      <x:c r="J8" s="170" t="str">
        <x:v>Kuratiert · 4 Dokumente</x:v>
      </x:c>
      <x:c r="K8" s="170"/>
      <x:c r="L8" s="170"/>
      <x:c r="M8" s="170"/>
      <x:c r="N8" s="170"/>
      <x:c r="O8" s="170"/>
      <x:c r="P8" s="170"/>
    </x:row>
    <x:row r="9">
      <x:c r="A9" s="168" t="str">
        <x:v>Dekodierung / Seed</x:v>
      </x:c>
      <x:c r="B9" s="13" t="str">
        <x:v>deterministisch / 42</x:v>
      </x:c>
      <x:c r="J9" s="13" t="str">
        <x:v>lmu_computerlinguistik_bsc_stand_2025-09-24.pdf
lmu_computerlinguistik_msc_stand_2025-07-08.pdf
lmu_informatik_bsc_integriertes_anwendungsfach_stand_2023-11-22.pdf
lmu_informatik_msc_beginn_wise_stand_2023-01-20.pdf</x:v>
      </x:c>
      <x:c r="K9" s="13"/>
      <x:c r="L9" s="13"/>
      <x:c r="M9" s="13"/>
      <x:c r="N9" s="13"/>
      <x:c r="O9" s="13"/>
      <x:c r="P9" s="13"/>
    </x:row>
    <x:row r="10">
      <x:c r="A10" s="168" t="str">
        <x:v>Tests</x:v>
      </x:c>
      <x:c r="B10" s="13" t="str">
        <x:v>13 passed</x:v>
      </x:c>
      <x:c r="J10" s="13"/>
      <x:c r="K10" s="13"/>
      <x:c r="L10" s="13"/>
      <x:c r="M10" s="13"/>
      <x:c r="N10" s="13"/>
      <x:c r="O10" s="13"/>
      <x:c r="P10" s="13"/>
    </x:row>
    <x:row r="11">
      <x:c r="A11" s="168" t="str">
        <x:v>retrieval_metrics.csv · SHA-256</x:v>
      </x:c>
      <x:c r="B11" s="13" t="str">
        <x:v>bef8908ddf24f63f1600709f2f1560484662fde2fd63ccaf1384067d72f90d6d</x:v>
      </x:c>
      <x:c r="J11" s="13"/>
      <x:c r="K11" s="13"/>
      <x:c r="L11" s="13"/>
      <x:c r="M11" s="13"/>
      <x:c r="N11" s="13"/>
      <x:c r="O11" s="13"/>
      <x:c r="P11" s="13"/>
    </x:row>
    <x:row r="12">
      <x:c r="A12" s="168" t="str">
        <x:v>per_query_analysis.csv · SHA-256</x:v>
      </x:c>
      <x:c r="B12" s="13" t="str">
        <x:v>6130051fb2540bb7804b20e62498e72cf0f6db8d76a712b198c31f8b2fb7ef87</x:v>
      </x:c>
      <x:c r="J12" s="13"/>
      <x:c r="K12" s="13"/>
      <x:c r="L12" s="13"/>
      <x:c r="M12" s="13"/>
      <x:c r="N12" s="13"/>
      <x:c r="O12" s="13"/>
      <x:c r="P12" s="13"/>
    </x:row>
    <x:row r="13">
      <x:c r="J13" s="13"/>
      <x:c r="K13" s="13"/>
      <x:c r="L13" s="13"/>
      <x:c r="M13" s="13"/>
      <x:c r="N13" s="13"/>
      <x:c r="O13" s="13"/>
      <x:c r="P13" s="13"/>
    </x:row>
    <x:row r="14">
      <x:c r="J14" s="171" t="str">
        <x:v>Varianten-Stresstest · 7 PDFs</x:v>
      </x:c>
      <x:c r="K14" s="171"/>
      <x:c r="L14" s="171"/>
      <x:c r="M14" s="171"/>
      <x:c r="N14" s="171"/>
      <x:c r="O14" s="171"/>
      <x:c r="P14" s="171"/>
    </x:row>
    <x:row r="15" ht="24" customHeight="1">
      <x:c r="A15" s="75" t="str">
        <x:v>Direkte und numerisch relevante Paketversionen</x:v>
      </x:c>
      <x:c r="B15" s="76" t="str">
        <x:v>Direkte und numerisch relevante Paketversionen</x:v>
      </x:c>
      <x:c r="C15" s="76" t="str">
        <x:v>Direkte und numerisch relevante Paketversionen</x:v>
      </x:c>
      <x:c r="D15" s="76" t="str">
        <x:v>Direkte und numerisch relevante Paketversionen</x:v>
      </x:c>
      <x:c r="E15" s="76" t="str">
        <x:v>Direkte und numerisch relevante Paketversionen</x:v>
      </x:c>
      <x:c r="F15" s="76" t="str">
        <x:v>Direkte und numerisch relevante Paketversionen</x:v>
      </x:c>
      <x:c r="G15" s="76" t="str">
        <x:v>Direkte und numerisch relevante Paketversionen</x:v>
      </x:c>
      <x:c r="H15" s="77" t="str">
        <x:v>Direkte und numerisch relevante Paketversionen</x:v>
      </x:c>
      <x:c r="J15" s="13" t="str">
        <x:v>lmu_computerlinguistik_bsc_stand_2025-09-24.pdf
lmu_computerlinguistik_msc_stand_2025-07-08.pdf
lmu_informatik_bsc_30ects_nebenfach_stand_2023-11-22.pdf
lmu_informatik_bsc_60ects_nebenfach_stand_2023-11-22.pdf
lmu_informatik_bsc_integriertes_anwendungsfach_stand_2023-11-22.pdf
lmu_informatik_msc_beginn_sose_stand_2023-01-20.pdf
lmu_informatik_msc_beginn_wise_stand_2023-01-20.pdf</x:v>
      </x:c>
      <x:c r="K15" s="13"/>
      <x:c r="L15" s="13"/>
      <x:c r="M15" s="13"/>
      <x:c r="N15" s="13"/>
      <x:c r="O15" s="13"/>
      <x:c r="P15" s="13"/>
    </x:row>
    <x:row r="16" ht="28" customHeight="1">
      <x:c r="A16" s="6" t="str">
        <x:v>Paket</x:v>
      </x:c>
      <x:c r="B16" s="6" t="str">
        <x:v>Version</x:v>
      </x:c>
      <x:c r="J16" s="13"/>
      <x:c r="K16" s="13"/>
      <x:c r="L16" s="13"/>
      <x:c r="M16" s="13"/>
      <x:c r="N16" s="13"/>
      <x:c r="O16" s="13"/>
      <x:c r="P16" s="13"/>
    </x:row>
    <x:row r="17">
      <x:c r="A17" s="13" t="str">
        <x:v>numpy</x:v>
      </x:c>
      <x:c r="B17" s="13" t="str">
        <x:v>2.4.6</x:v>
      </x:c>
      <x:c r="J17" s="13"/>
      <x:c r="K17" s="13"/>
      <x:c r="L17" s="13"/>
      <x:c r="M17" s="13"/>
      <x:c r="N17" s="13"/>
      <x:c r="O17" s="13"/>
      <x:c r="P17" s="13"/>
    </x:row>
    <x:row r="18">
      <x:c r="A18" s="13" t="str">
        <x:v>pydantic</x:v>
      </x:c>
      <x:c r="B18" s="13" t="str">
        <x:v>2.13.4</x:v>
      </x:c>
      <x:c r="J18" s="13"/>
      <x:c r="K18" s="13"/>
      <x:c r="L18" s="13"/>
      <x:c r="M18" s="13"/>
      <x:c r="N18" s="13"/>
      <x:c r="O18" s="13"/>
      <x:c r="P18" s="13"/>
    </x:row>
    <x:row r="19">
      <x:c r="A19" s="13" t="str">
        <x:v>pypdf</x:v>
      </x:c>
      <x:c r="B19" s="13" t="str">
        <x:v>6.14.2</x:v>
      </x:c>
      <x:c r="J19" s="13"/>
      <x:c r="K19" s="13"/>
      <x:c r="L19" s="13"/>
      <x:c r="M19" s="13"/>
      <x:c r="N19" s="13"/>
      <x:c r="O19" s="13"/>
      <x:c r="P19" s="13"/>
    </x:row>
    <x:row r="20">
      <x:c r="A20" s="13" t="str">
        <x:v>rank-bm25</x:v>
      </x:c>
      <x:c r="B20" s="13" t="str">
        <x:v>0.2.2</x:v>
      </x:c>
      <x:c r="J20" s="13"/>
      <x:c r="K20" s="13"/>
      <x:c r="L20" s="13"/>
      <x:c r="M20" s="13"/>
      <x:c r="N20" s="13"/>
      <x:c r="O20" s="13"/>
      <x:c r="P20" s="13"/>
    </x:row>
    <x:row r="21">
      <x:c r="A21" s="13" t="str">
        <x:v>rich</x:v>
      </x:c>
      <x:c r="B21" s="13" t="str">
        <x:v>15.0.0</x:v>
      </x:c>
      <x:c r="J21" s="13"/>
      <x:c r="K21" s="13"/>
      <x:c r="L21" s="13"/>
      <x:c r="M21" s="13"/>
      <x:c r="N21" s="13"/>
      <x:c r="O21" s="13"/>
      <x:c r="P21" s="13"/>
    </x:row>
    <x:row r="22">
      <x:c r="A22" s="13" t="str">
        <x:v>typer</x:v>
      </x:c>
      <x:c r="B22" s="13" t="str">
        <x:v>0.26.8</x:v>
      </x:c>
      <x:c r="J22" s="13"/>
      <x:c r="K22" s="13"/>
      <x:c r="L22" s="13"/>
      <x:c r="M22" s="13"/>
      <x:c r="N22" s="13"/>
      <x:c r="O22" s="13"/>
      <x:c r="P22" s="13"/>
    </x:row>
    <x:row r="23">
      <x:c r="A23" s="13" t="str">
        <x:v>sentence-transformers</x:v>
      </x:c>
      <x:c r="B23" s="13" t="str">
        <x:v>5.6.0</x:v>
      </x:c>
    </x:row>
    <x:row r="24">
      <x:c r="A24" s="13" t="str">
        <x:v>scikit-learn</x:v>
      </x:c>
      <x:c r="B24" s="13" t="str">
        <x:v>1.9.0</x:v>
      </x:c>
    </x:row>
    <x:row r="25">
      <x:c r="A25" s="13" t="str">
        <x:v>streamlit</x:v>
      </x:c>
      <x:c r="B25" s="13" t="str">
        <x:v>1.59.2</x:v>
      </x:c>
    </x:row>
    <x:row r="26">
      <x:c r="A26" s="13" t="str">
        <x:v>pytest</x:v>
      </x:c>
      <x:c r="B26" s="13" t="str">
        <x:v>9.1.1</x:v>
      </x:c>
    </x:row>
    <x:row r="27">
      <x:c r="A27" s="13" t="str">
        <x:v>torch</x:v>
      </x:c>
      <x:c r="B27" s="13" t="str">
        <x:v>2.13.0</x:v>
      </x:c>
    </x:row>
    <x:row r="28">
      <x:c r="A28" s="13" t="str">
        <x:v>transformers</x:v>
      </x:c>
      <x:c r="B28" s="13" t="str">
        <x:v>5.13.1</x:v>
      </x:c>
    </x:row>
    <x:row r="32" ht="24" customHeight="1">
      <x:c r="A32" s="75" t="str">
        <x:v>Ein-Befehl-Abgabelauf</x:v>
      </x:c>
      <x:c r="B32" s="76" t="str">
        <x:v>Ein-Befehl-Abgabelauf</x:v>
      </x:c>
      <x:c r="C32" s="76" t="str">
        <x:v>Ein-Befehl-Abgabelauf</x:v>
      </x:c>
      <x:c r="D32" s="76" t="str">
        <x:v>Ein-Befehl-Abgabelauf</x:v>
      </x:c>
      <x:c r="E32" s="76" t="str">
        <x:v>Ein-Befehl-Abgabelauf</x:v>
      </x:c>
      <x:c r="F32" s="76" t="str">
        <x:v>Ein-Befehl-Abgabelauf</x:v>
      </x:c>
      <x:c r="G32" s="76" t="str">
        <x:v>Ein-Befehl-Abgabelauf</x:v>
      </x:c>
      <x:c r="H32" s="76" t="str">
        <x:v>Ein-Befehl-Abgabelauf</x:v>
      </x:c>
      <x:c r="I32" s="76" t="str">
        <x:v>Ein-Befehl-Abgabelauf</x:v>
      </x:c>
      <x:c r="J32" s="76" t="str">
        <x:v>Ein-Befehl-Abgabelauf</x:v>
      </x:c>
      <x:c r="K32" s="76" t="str">
        <x:v>Ein-Befehl-Abgabelauf</x:v>
      </x:c>
      <x:c r="L32" s="76" t="str">
        <x:v>Ein-Befehl-Abgabelauf</x:v>
      </x:c>
      <x:c r="M32" s="76" t="str">
        <x:v>Ein-Befehl-Abgabelauf</x:v>
      </x:c>
      <x:c r="N32" s="76" t="str">
        <x:v>Ein-Befehl-Abgabelauf</x:v>
      </x:c>
      <x:c r="O32" s="76" t="str">
        <x:v>Ein-Befehl-Abgabelauf</x:v>
      </x:c>
      <x:c r="P32" s="77" t="str">
        <x:v>Ein-Befehl-Abgabelauf</x:v>
      </x:c>
    </x:row>
    <x:row r="33">
      <x:c r="A33" s="179" t="str">
        <x:v>&amp; .\scripts\run_release_validation.ps1 -OutputDirectory 'outputs\final_release'</x:v>
      </x:c>
      <x:c r="B33" s="180"/>
      <x:c r="C33" s="180"/>
      <x:c r="D33" s="180"/>
      <x:c r="E33" s="180"/>
      <x:c r="F33" s="180"/>
      <x:c r="G33" s="180"/>
      <x:c r="H33" s="180"/>
      <x:c r="I33" s="180"/>
      <x:c r="J33" s="180"/>
      <x:c r="K33" s="180"/>
      <x:c r="L33" s="180"/>
      <x:c r="M33" s="180"/>
      <x:c r="N33" s="180"/>
      <x:c r="O33" s="180"/>
      <x:c r="P33" s="181"/>
    </x:row>
    <x:row r="34">
      <x:c r="A34" s="182"/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  <x:c r="O34" s="183"/>
      <x:c r="P34" s="184"/>
    </x:row>
    <x:row r="36">
      <x:c r="A36" s="97" t="str">
        <x:v>Offline-Hinweis: HF_HUB_OFFLINE=1 und TRANSFORMERS_OFFLINE=1 verhindern ausschließlich die Netzabfrage. Das lokal gespeicherte MiniLM-Snapshot und seine Gewichte bleiben unverändert. Vollständige Anleitung: docs/TEST_RUNBOOK.md</x:v>
      </x:c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9"/>
    </x:row>
    <x:row r="37">
      <x:c r="A37" s="100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2"/>
    </x:row>
    <x:row r="38">
      <x:c r="A38" s="103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5"/>
    </x:row>
  </x:sheetData>
  <x:mergeCells>
    <x:mergeCell ref="A1:P1"/>
    <x:mergeCell ref="A2:P2"/>
    <x:mergeCell ref="A4:H4"/>
    <x:mergeCell ref="A15:H15"/>
    <x:mergeCell ref="J4:P4"/>
    <x:mergeCell ref="J5:P5"/>
    <x:mergeCell ref="J6:P6"/>
    <x:mergeCell ref="J8:P8"/>
    <x:mergeCell ref="J9:P12"/>
    <x:mergeCell ref="J14:P14"/>
    <x:mergeCell ref="J15:P22"/>
    <x:mergeCell ref="A32:P32"/>
    <x:mergeCell ref="A33:P34"/>
    <x:mergeCell ref="A36:P3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3.630000114440918" hidden="0" customWidth="1"/>
    <x:col min="3" max="3" width="2.25" hidden="0" customWidth="1"/>
    <x:col min="4" max="4" width="13" hidden="0" customWidth="1"/>
    <x:col min="5" max="5" width="7.5" hidden="0" customWidth="1"/>
    <x:col min="6" max="6" width="12.25" hidden="0" customWidth="1"/>
    <x:col min="7" max="7" width="5" hidden="0" customWidth="1"/>
    <x:col min="8" max="8" width="11.380000114440918" hidden="0" customWidth="1"/>
    <x:col min="9" max="9" width="11.25" hidden="0" customWidth="1"/>
    <x:col min="10" max="10" width="13.630000114440918" hidden="0" customWidth="1"/>
    <x:col min="11" max="11" width="4.75" hidden="0" customWidth="1"/>
    <x:col min="12" max="12" width="10" hidden="0" customWidth="1"/>
    <x:col min="13" max="13" width="9.380000114440918" hidden="0" customWidth="1"/>
    <x:col min="14" max="14" width="9.380000114440918" hidden="0" customWidth="1"/>
    <x:col min="15" max="15" width="9.380000114440918" hidden="0" customWidth="1"/>
    <x:col min="16" max="16" width="9.380000114440918" hidden="0" customWidth="1"/>
  </x:cols>
  <x:sheetData>
    <x:row r="1" ht="15" hidden="0" customHeight="1">
      <x:c r="A1" s="6" t="str">
        <x:v>series</x:v>
      </x:c>
      <x:c r="B1" s="6" t="str">
        <x:v>query_set</x:v>
      </x:c>
      <x:c r="C1" s="6" t="str">
        <x:v>n</x:v>
      </x:c>
      <x:c r="D1" s="6" t="str">
        <x:v>corpus</x:v>
      </x:c>
      <x:c r="E1" s="6" t="str">
        <x:v>chunking</x:v>
      </x:c>
      <x:c r="F1" s="6" t="str">
        <x:v>retriever</x:v>
      </x:c>
      <x:c r="G1" s="6" t="str">
        <x:v>top_k</x:v>
      </x:c>
      <x:c r="H1" s="6" t="str">
        <x:v>matching</x:v>
      </x:c>
      <x:c r="I1" s="6" t="str">
        <x:v>section_boost</x:v>
      </x:c>
      <x:c r="J1" s="6" t="str">
        <x:v>query_expansion</x:v>
      </x:c>
      <x:c r="K1" s="6" t="str">
        <x:v>alpha</x:v>
      </x:c>
      <x:c r="L1" s="6" t="str">
        <x:v>precision@3</x:v>
      </x:c>
      <x:c r="M1" s="6" t="str">
        <x:v>recall@3</x:v>
      </x:c>
      <x:c r="N1" s="6" t="str">
        <x:v>mrr</x:v>
      </x:c>
      <x:c r="O1" s="6" t="str">
        <x:v>ndcg@3</x:v>
      </x:c>
      <x:c r="P1" s="6" t="str">
        <x:v>hit@1</x:v>
      </x:c>
    </x:row>
    <x:row r="2" ht="15" hidden="0" customHeight="1">
      <x:c r="A2" s="13" t="str">
        <x:v>chunking_comparison</x:v>
      </x:c>
      <x:c r="B2" s="13" t="str">
        <x:v>Deutsch n=25</x:v>
      </x:c>
      <x:c r="C2" s="13" t="n">
        <x:v>25</x:v>
      </x:c>
      <x:c r="D2" s="13" t="str">
        <x:v>official_cl_bsc</x:v>
      </x:c>
      <x:c r="E2" s="13" t="str">
        <x:v>naive</x:v>
      </x:c>
      <x:c r="F2" s="13" t="str">
        <x:v>BM25</x:v>
      </x:c>
      <x:c r="G2" s="13" t="n">
        <x:v>3</x:v>
      </x:c>
      <x:c r="H2" s="13" t="str">
        <x:v>module</x:v>
      </x:c>
      <x:c r="I2" s="13" t="n">
        <x:v>8</x:v>
      </x:c>
      <x:c r="J2" s="14" t="b">
        <x:v>1</x:v>
      </x:c>
      <x:c r="K2" s="13"/>
      <x:c r="L2" s="15" t="n">
        <x:v>0.30666666666666653</x:v>
      </x:c>
      <x:c r="M2" s="15" t="n">
        <x:v>0.92</x:v>
      </x:c>
      <x:c r="N2" s="15" t="n">
        <x:v>0.7666666666666667</x:v>
      </x:c>
      <x:c r="O2" s="15" t="n">
        <x:v>0.8061859507142916</x:v>
      </x:c>
      <x:c r="P2" s="15" t="n">
        <x:v>0.64</x:v>
      </x:c>
    </x:row>
    <x:row r="3" ht="15" hidden="0" customHeight="1">
      <x:c r="A3" s="13" t="str">
        <x:v>chunking_comparison</x:v>
      </x:c>
      <x:c r="B3" s="13" t="str">
        <x:v>Deutsch n=25</x:v>
      </x:c>
      <x:c r="C3" s="13" t="n">
        <x:v>25</x:v>
      </x:c>
      <x:c r="D3" s="13" t="str">
        <x:v>official_cl_bsc</x:v>
      </x:c>
      <x:c r="E3" s="13" t="str">
        <x:v>module</x:v>
      </x:c>
      <x:c r="F3" s="13" t="str">
        <x:v>BM25</x:v>
      </x:c>
      <x:c r="G3" s="13" t="n">
        <x:v>3</x:v>
      </x:c>
      <x:c r="H3" s="13" t="str">
        <x:v>module</x:v>
      </x:c>
      <x:c r="I3" s="13" t="n">
        <x:v>8</x:v>
      </x:c>
      <x:c r="J3" s="14" t="b">
        <x:v>1</x:v>
      </x:c>
      <x:c r="K3" s="13"/>
      <x:c r="L3" s="15" t="n">
        <x:v>0.31999999999999984</x:v>
      </x:c>
      <x:c r="M3" s="15" t="n">
        <x:v>0.96</x:v>
      </x:c>
      <x:c r="N3" s="15" t="n">
        <x:v>0.96</x:v>
      </x:c>
      <x:c r="O3" s="15" t="n">
        <x:v>0.96</x:v>
      </x:c>
      <x:c r="P3" s="15" t="n">
        <x:v>0.96</x:v>
      </x:c>
    </x:row>
    <x:row r="4" ht="15" hidden="0" customHeight="1">
      <x:c r="A4" s="13" t="str">
        <x:v>chunking_comparison</x:v>
      </x:c>
      <x:c r="B4" s="13" t="str">
        <x:v>Deutsch n=25</x:v>
      </x:c>
      <x:c r="C4" s="13" t="n">
        <x:v>25</x:v>
      </x:c>
      <x:c r="D4" s="13" t="str">
        <x:v>official_cl_bsc</x:v>
      </x:c>
      <x:c r="E4" s="13" t="str">
        <x:v>field</x:v>
      </x:c>
      <x:c r="F4" s="13" t="str">
        <x:v>BM25</x:v>
      </x:c>
      <x:c r="G4" s="13" t="n">
        <x:v>3</x:v>
      </x:c>
      <x:c r="H4" s="13" t="str">
        <x:v>module</x:v>
      </x:c>
      <x:c r="I4" s="13" t="n">
        <x:v>8</x:v>
      </x:c>
      <x:c r="J4" s="14" t="b">
        <x:v>1</x:v>
      </x:c>
      <x:c r="K4" s="13"/>
      <x:c r="L4" s="15" t="n">
        <x:v>0.30666666666666653</x:v>
      </x:c>
      <x:c r="M4" s="15" t="n">
        <x:v>0.92</x:v>
      </x:c>
      <x:c r="N4" s="15" t="n">
        <x:v>0.8733333333333333</x:v>
      </x:c>
      <x:c r="O4" s="15" t="n">
        <x:v>0.8852371901428583</x:v>
      </x:c>
      <x:c r="P4" s="15" t="n">
        <x:v>0.84</x:v>
      </x:c>
    </x:row>
    <x:row r="5" ht="15" hidden="0" customHeight="1">
      <x:c r="A5" s="13" t="str">
        <x:v>bm25_ablation</x:v>
      </x:c>
      <x:c r="B5" s="13" t="str">
        <x:v>Deutsch n=25</x:v>
      </x:c>
      <x:c r="C5" s="13" t="n">
        <x:v>25</x:v>
      </x:c>
      <x:c r="D5" s="13" t="str">
        <x:v>official_cl_bsc</x:v>
      </x:c>
      <x:c r="E5" s="13" t="str">
        <x:v>field</x:v>
      </x:c>
      <x:c r="F5" s="13" t="str">
        <x:v>BM25_plain</x:v>
      </x:c>
      <x:c r="G5" s="13" t="n">
        <x:v>3</x:v>
      </x:c>
      <x:c r="H5" s="13" t="str">
        <x:v>module+section</x:v>
      </x:c>
      <x:c r="I5" s="13"/>
      <x:c r="J5" s="14" t="b">
        <x:v>0</x:v>
      </x:c>
      <x:c r="K5" s="13"/>
      <x:c r="L5" s="15" t="n">
        <x:v>0.10666666666666666</x:v>
      </x:c>
      <x:c r="M5" s="15" t="n">
        <x:v>0.28</x:v>
      </x:c>
      <x:c r="N5" s="15" t="n">
        <x:v>0.3</x:v>
      </x:c>
      <x:c r="O5" s="15" t="n">
        <x:v>0.274288965564095</x:v>
      </x:c>
      <x:c r="P5" s="15" t="n">
        <x:v>0.28</x:v>
      </x:c>
    </x:row>
    <x:row r="6" ht="15" hidden="0" customHeight="1">
      <x:c r="A6" s="13" t="str">
        <x:v>bm25_ablation</x:v>
      </x:c>
      <x:c r="B6" s="13" t="str">
        <x:v>Deutsch n=25</x:v>
      </x:c>
      <x:c r="C6" s="13" t="n">
        <x:v>25</x:v>
      </x:c>
      <x:c r="D6" s="13" t="str">
        <x:v>official_cl_bsc</x:v>
      </x:c>
      <x:c r="E6" s="13" t="str">
        <x:v>field</x:v>
      </x:c>
      <x:c r="F6" s="13" t="str">
        <x:v>BM25_expansion</x:v>
      </x:c>
      <x:c r="G6" s="13" t="n">
        <x:v>3</x:v>
      </x:c>
      <x:c r="H6" s="13" t="str">
        <x:v>module+section</x:v>
      </x:c>
      <x:c r="I6" s="13"/>
      <x:c r="J6" s="14" t="b">
        <x:v>1</x:v>
      </x:c>
      <x:c r="K6" s="13"/>
      <x:c r="L6" s="15" t="n">
        <x:v>0.2799999999999999</x:v>
      </x:c>
      <x:c r="M6" s="15" t="n">
        <x:v>0.8</x:v>
      </x:c>
      <x:c r="N6" s="15" t="n">
        <x:v>0.6866666666666668</x:v>
      </x:c>
      <x:c r="O6" s="15" t="n">
        <x:v>0.7009487605714333</x:v>
      </x:c>
      <x:c r="P6" s="15" t="n">
        <x:v>0.56</x:v>
      </x:c>
    </x:row>
    <x:row r="7" ht="15" hidden="0" customHeight="1">
      <x:c r="A7" s="13" t="str">
        <x:v>bm25_ablation</x:v>
      </x:c>
      <x:c r="B7" s="13" t="str">
        <x:v>Deutsch n=25</x:v>
      </x:c>
      <x:c r="C7" s="13" t="n">
        <x:v>25</x:v>
      </x:c>
      <x:c r="D7" s="13" t="str">
        <x:v>official_cl_bsc</x:v>
      </x:c>
      <x:c r="E7" s="13" t="str">
        <x:v>field</x:v>
      </x:c>
      <x:c r="F7" s="13" t="str">
        <x:v>BM25_domain</x:v>
      </x:c>
      <x:c r="G7" s="13" t="n">
        <x:v>3</x:v>
      </x:c>
      <x:c r="H7" s="13" t="str">
        <x:v>module+section</x:v>
      </x:c>
      <x:c r="I7" s="13" t="n">
        <x:v>8</x:v>
      </x:c>
      <x:c r="J7" s="14" t="b">
        <x:v>1</x:v>
      </x:c>
      <x:c r="K7" s="13"/>
      <x:c r="L7" s="15" t="n">
        <x:v>0.26666666666666655</x:v>
      </x:c>
      <x:c r="M7" s="15" t="n">
        <x:v>0.78</x:v>
      </x:c>
      <x:c r="N7" s="15" t="n">
        <x:v>0.7333333333333333</x:v>
      </x:c>
      <x:c r="O7" s="15" t="n">
        <x:v>0.7350002679963349</x:v>
      </x:c>
      <x:c r="P7" s="15" t="n">
        <x:v>0.68</x:v>
      </x:c>
    </x:row>
    <x:row r="8" ht="15" hidden="0" customHeight="1">
      <x:c r="A8" s="13" t="str">
        <x:v>retriever_comparison</x:v>
      </x:c>
      <x:c r="B8" s="13" t="str">
        <x:v>Deutsch n=25</x:v>
      </x:c>
      <x:c r="C8" s="13" t="n">
        <x:v>25</x:v>
      </x:c>
      <x:c r="D8" s="13" t="str">
        <x:v>official_cl_bsc</x:v>
      </x:c>
      <x:c r="E8" s="13" t="str">
        <x:v>field</x:v>
      </x:c>
      <x:c r="F8" s="13" t="str">
        <x:v>Dense</x:v>
      </x:c>
      <x:c r="G8" s="13" t="n">
        <x:v>3</x:v>
      </x:c>
      <x:c r="H8" s="13" t="str">
        <x:v>module+section</x:v>
      </x:c>
      <x:c r="I8" s="13"/>
      <x:c r="J8" s="13"/>
      <x:c r="K8" s="13"/>
      <x:c r="L8" s="15" t="n">
        <x:v>0.14666666666666667</x:v>
      </x:c>
      <x:c r="M8" s="15" t="n">
        <x:v>0.4</x:v>
      </x:c>
      <x:c r="N8" s="15" t="n">
        <x:v>0.34</x:v>
      </x:c>
      <x:c r="O8" s="15" t="n">
        <x:v>0.3525004019945024</x:v>
      </x:c>
      <x:c r="P8" s="15" t="n">
        <x:v>0.28</x:v>
      </x:c>
    </x:row>
    <x:row r="9" ht="15" hidden="0" customHeight="1">
      <x:c r="A9" s="13" t="str">
        <x:v>retriever_comparison</x:v>
      </x:c>
      <x:c r="B9" s="13" t="str">
        <x:v>Deutsch n=25</x:v>
      </x:c>
      <x:c r="C9" s="13" t="n">
        <x:v>25</x:v>
      </x:c>
      <x:c r="D9" s="13" t="str">
        <x:v>official_cl_bsc</x:v>
      </x:c>
      <x:c r="E9" s="13" t="str">
        <x:v>field</x:v>
      </x:c>
      <x:c r="F9" s="13" t="str">
        <x:v>BM25_domain</x:v>
      </x:c>
      <x:c r="G9" s="13" t="n">
        <x:v>3</x:v>
      </x:c>
      <x:c r="H9" s="13" t="str">
        <x:v>module+section</x:v>
      </x:c>
      <x:c r="I9" s="13" t="n">
        <x:v>8</x:v>
      </x:c>
      <x:c r="J9" s="14" t="b">
        <x:v>1</x:v>
      </x:c>
      <x:c r="K9" s="13"/>
      <x:c r="L9" s="15" t="n">
        <x:v>0.26666666666666655</x:v>
      </x:c>
      <x:c r="M9" s="15" t="n">
        <x:v>0.78</x:v>
      </x:c>
      <x:c r="N9" s="15" t="n">
        <x:v>0.7333333333333333</x:v>
      </x:c>
      <x:c r="O9" s="15" t="n">
        <x:v>0.7350002679963349</x:v>
      </x:c>
      <x:c r="P9" s="15" t="n">
        <x:v>0.68</x:v>
      </x:c>
    </x:row>
    <x:row r="10" ht="15" hidden="0" customHeight="1">
      <x:c r="A10" s="13" t="str">
        <x:v>alpha_sweep</x:v>
      </x:c>
      <x:c r="B10" s="13" t="str">
        <x:v>Deutsch n=25</x:v>
      </x:c>
      <x:c r="C10" s="13" t="n">
        <x:v>25</x:v>
      </x:c>
      <x:c r="D10" s="13" t="str">
        <x:v>official_cl_bsc</x:v>
      </x:c>
      <x:c r="E10" s="13" t="str">
        <x:v>field</x:v>
      </x:c>
      <x:c r="F10" s="13" t="str">
        <x:v>Hybrid</x:v>
      </x:c>
      <x:c r="G10" s="13" t="n">
        <x:v>3</x:v>
      </x:c>
      <x:c r="H10" s="13" t="str">
        <x:v>module+section</x:v>
      </x:c>
      <x:c r="I10" s="13" t="n">
        <x:v>8</x:v>
      </x:c>
      <x:c r="J10" s="14" t="b">
        <x:v>1</x:v>
      </x:c>
      <x:c r="K10" s="13" t="n">
        <x:v>0.25</x:v>
      </x:c>
      <x:c r="L10" s="15" t="n">
        <x:v>0.30666666666666653</x:v>
      </x:c>
      <x:c r="M10" s="15" t="n">
        <x:v>0.88</x:v>
      </x:c>
      <x:c r="N10" s="15" t="n">
        <x:v>0.8133333333333332</x:v>
      </x:c>
      <x:c r="O10" s="15" t="n">
        <x:v>0.8234486265732657</x:v>
      </x:c>
      <x:c r="P10" s="15" t="n">
        <x:v>0.72</x:v>
      </x:c>
    </x:row>
    <x:row r="11" ht="15" hidden="0" customHeight="1">
      <x:c r="A11" s="13" t="str">
        <x:v>alpha_sweep</x:v>
      </x:c>
      <x:c r="B11" s="13" t="str">
        <x:v>Deutsch n=25</x:v>
      </x:c>
      <x:c r="C11" s="13" t="n">
        <x:v>25</x:v>
      </x:c>
      <x:c r="D11" s="13" t="str">
        <x:v>official_cl_bsc</x:v>
      </x:c>
      <x:c r="E11" s="13" t="str">
        <x:v>field</x:v>
      </x:c>
      <x:c r="F11" s="13" t="str">
        <x:v>Hybrid</x:v>
      </x:c>
      <x:c r="G11" s="13" t="n">
        <x:v>3</x:v>
      </x:c>
      <x:c r="H11" s="13" t="str">
        <x:v>module+section</x:v>
      </x:c>
      <x:c r="I11" s="13" t="n">
        <x:v>8</x:v>
      </x:c>
      <x:c r="J11" s="14" t="b">
        <x:v>1</x:v>
      </x:c>
      <x:c r="K11" s="13" t="n">
        <x:v>0.5</x:v>
      </x:c>
      <x:c r="L11" s="15" t="n">
        <x:v>0.3199999999999999</x:v>
      </x:c>
      <x:c r="M11" s="15" t="n">
        <x:v>0.9</x:v>
      </x:c>
      <x:c r="N11" s="15" t="n">
        <x:v>0.76</x:v>
      </x:c>
      <x:c r="O11" s="15" t="n">
        <x:v>0.7957115704285749</x:v>
      </x:c>
      <x:c r="P11" s="15" t="n">
        <x:v>0.64</x:v>
      </x:c>
    </x:row>
    <x:row r="12" ht="15" hidden="0" customHeight="1">
      <x:c r="A12" s="13" t="str">
        <x:v>alpha_sweep</x:v>
      </x:c>
      <x:c r="B12" s="13" t="str">
        <x:v>Deutsch n=25</x:v>
      </x:c>
      <x:c r="C12" s="13" t="n">
        <x:v>25</x:v>
      </x:c>
      <x:c r="D12" s="13" t="str">
        <x:v>official_cl_bsc</x:v>
      </x:c>
      <x:c r="E12" s="13" t="str">
        <x:v>field</x:v>
      </x:c>
      <x:c r="F12" s="13" t="str">
        <x:v>Hybrid</x:v>
      </x:c>
      <x:c r="G12" s="13" t="n">
        <x:v>3</x:v>
      </x:c>
      <x:c r="H12" s="13" t="str">
        <x:v>module+section</x:v>
      </x:c>
      <x:c r="I12" s="13" t="n">
        <x:v>8</x:v>
      </x:c>
      <x:c r="J12" s="14" t="b">
        <x:v>1</x:v>
      </x:c>
      <x:c r="K12" s="13" t="n">
        <x:v>0.75</x:v>
      </x:c>
      <x:c r="L12" s="15" t="n">
        <x:v>0.22666666666666666</x:v>
      </x:c>
      <x:c r="M12" s="15" t="n">
        <x:v>0.64</x:v>
      </x:c>
      <x:c r="N12" s="15" t="n">
        <x:v>0.4733333333333333</x:v>
      </x:c>
      <x:c r="O12" s="15" t="n">
        <x:v>0.5191601970018407</x:v>
      </x:c>
      <x:c r="P12" s="15" t="n">
        <x:v>0.32</x:v>
      </x:c>
    </x:row>
    <x:row r="13" ht="15" hidden="0" customHeight="1">
      <x:c r="A13" s="13" t="str">
        <x:v>retriever_comparison</x:v>
      </x:c>
      <x:c r="B13" s="13" t="str">
        <x:v>Mehrsprachig n=18</x:v>
      </x:c>
      <x:c r="C13" s="13" t="n">
        <x:v>18</x:v>
      </x:c>
      <x:c r="D13" s="13" t="str">
        <x:v>official_cl_bsc</x:v>
      </x:c>
      <x:c r="E13" s="13" t="str">
        <x:v>field</x:v>
      </x:c>
      <x:c r="F13" s="13" t="str">
        <x:v>Dense</x:v>
      </x:c>
      <x:c r="G13" s="13" t="n">
        <x:v>3</x:v>
      </x:c>
      <x:c r="H13" s="13" t="str">
        <x:v>module+section</x:v>
      </x:c>
      <x:c r="I13" s="13"/>
      <x:c r="J13" s="13"/>
      <x:c r="K13" s="13"/>
      <x:c r="L13" s="15" t="n">
        <x:v>0.14814814814814814</x:v>
      </x:c>
      <x:c r="M13" s="15" t="n">
        <x:v>0.4444444444444444</x:v>
      </x:c>
      <x:c r="N13" s="15" t="n">
        <x:v>0.31481481481481477</x:v>
      </x:c>
      <x:c r="O13" s="15" t="n">
        <x:v>0.34788108373016197</x:v>
      </x:c>
      <x:c r="P13" s="15" t="n">
        <x:v>0.2222222222222222</x:v>
      </x:c>
    </x:row>
    <x:row r="14" ht="15" hidden="0" customHeight="1">
      <x:c r="A14" s="13" t="str">
        <x:v>retriever_comparison</x:v>
      </x:c>
      <x:c r="B14" s="13" t="str">
        <x:v>Mehrsprachig n=18</x:v>
      </x:c>
      <x:c r="C14" s="13" t="n">
        <x:v>18</x:v>
      </x:c>
      <x:c r="D14" s="13" t="str">
        <x:v>official_cl_bsc</x:v>
      </x:c>
      <x:c r="E14" s="13" t="str">
        <x:v>field</x:v>
      </x:c>
      <x:c r="F14" s="13" t="str">
        <x:v>BM25_domain</x:v>
      </x:c>
      <x:c r="G14" s="13" t="n">
        <x:v>3</x:v>
      </x:c>
      <x:c r="H14" s="13" t="str">
        <x:v>module+section</x:v>
      </x:c>
      <x:c r="I14" s="13" t="n">
        <x:v>8</x:v>
      </x:c>
      <x:c r="J14" s="14" t="b">
        <x:v>1</x:v>
      </x:c>
      <x:c r="K14" s="13"/>
      <x:c r="L14" s="15" t="n">
        <x:v>0.3148148148148147</x:v>
      </x:c>
      <x:c r="M14" s="15" t="n">
        <x:v>0.9444444444444444</x:v>
      </x:c>
      <x:c r="N14" s="15" t="n">
        <x:v>0.7777777777777779</x:v>
      </x:c>
      <x:c r="O14" s="15" t="n">
        <x:v>0.8201033059523842</x:v>
      </x:c>
      <x:c r="P14" s="15" t="n">
        <x:v>0.6666666666666666</x:v>
      </x:c>
    </x:row>
    <x:row r="15" ht="15" hidden="0" customHeight="1">
      <x:c r="A15" s="13" t="str">
        <x:v>alpha_sweep</x:v>
      </x:c>
      <x:c r="B15" s="13" t="str">
        <x:v>Mehrsprachig n=18</x:v>
      </x:c>
      <x:c r="C15" s="13" t="n">
        <x:v>18</x:v>
      </x:c>
      <x:c r="D15" s="13" t="str">
        <x:v>official_cl_bsc</x:v>
      </x:c>
      <x:c r="E15" s="13" t="str">
        <x:v>field</x:v>
      </x:c>
      <x:c r="F15" s="13" t="str">
        <x:v>Hybrid</x:v>
      </x:c>
      <x:c r="G15" s="13" t="n">
        <x:v>3</x:v>
      </x:c>
      <x:c r="H15" s="13" t="str">
        <x:v>module+section</x:v>
      </x:c>
      <x:c r="I15" s="13" t="n">
        <x:v>8</x:v>
      </x:c>
      <x:c r="J15" s="14" t="b">
        <x:v>1</x:v>
      </x:c>
      <x:c r="K15" s="13" t="n">
        <x:v>0.25</x:v>
      </x:c>
      <x:c r="L15" s="15" t="n">
        <x:v>0.33333333333333326</x:v>
      </x:c>
      <x:c r="M15" s="15" t="n">
        <x:v>1</x:v>
      </x:c>
      <x:c r="N15" s="15" t="n">
        <x:v>0.898148148148148</x:v>
      </x:c>
      <x:c r="O15" s="15" t="n">
        <x:v>0.923940541865081</x:v>
      </x:c>
      <x:c r="P15" s="15" t="n">
        <x:v>0.8333333333333334</x:v>
      </x:c>
    </x:row>
    <x:row r="16" ht="15" hidden="0" customHeight="1">
      <x:c r="A16" s="13" t="str">
        <x:v>alpha_sweep</x:v>
      </x:c>
      <x:c r="B16" s="13" t="str">
        <x:v>Mehrsprachig n=18</x:v>
      </x:c>
      <x:c r="C16" s="13" t="n">
        <x:v>18</x:v>
      </x:c>
      <x:c r="D16" s="13" t="str">
        <x:v>official_cl_bsc</x:v>
      </x:c>
      <x:c r="E16" s="13" t="str">
        <x:v>field</x:v>
      </x:c>
      <x:c r="F16" s="13" t="str">
        <x:v>Hybrid</x:v>
      </x:c>
      <x:c r="G16" s="13" t="n">
        <x:v>3</x:v>
      </x:c>
      <x:c r="H16" s="13" t="str">
        <x:v>module+section</x:v>
      </x:c>
      <x:c r="I16" s="13" t="n">
        <x:v>8</x:v>
      </x:c>
      <x:c r="J16" s="14" t="b">
        <x:v>1</x:v>
      </x:c>
      <x:c r="K16" s="13" t="n">
        <x:v>0.5</x:v>
      </x:c>
      <x:c r="L16" s="15" t="n">
        <x:v>0.3148148148148147</x:v>
      </x:c>
      <x:c r="M16" s="15" t="n">
        <x:v>0.9444444444444444</x:v>
      </x:c>
      <x:c r="N16" s="15" t="n">
        <x:v>0.8888888888888888</x:v>
      </x:c>
      <x:c r="O16" s="15" t="n">
        <x:v>0.9034366392857175</x:v>
      </x:c>
      <x:c r="P16" s="15" t="n">
        <x:v>0.8333333333333334</x:v>
      </x:c>
    </x:row>
    <x:row r="17" ht="15" hidden="0" customHeight="1">
      <x:c r="A17" s="13" t="str">
        <x:v>alpha_sweep</x:v>
      </x:c>
      <x:c r="B17" s="13" t="str">
        <x:v>Mehrsprachig n=18</x:v>
      </x:c>
      <x:c r="C17" s="13" t="n">
        <x:v>18</x:v>
      </x:c>
      <x:c r="D17" s="13" t="str">
        <x:v>official_cl_bsc</x:v>
      </x:c>
      <x:c r="E17" s="13" t="str">
        <x:v>field</x:v>
      </x:c>
      <x:c r="F17" s="13" t="str">
        <x:v>Hybrid</x:v>
      </x:c>
      <x:c r="G17" s="13" t="n">
        <x:v>3</x:v>
      </x:c>
      <x:c r="H17" s="13" t="str">
        <x:v>module+section</x:v>
      </x:c>
      <x:c r="I17" s="13" t="n">
        <x:v>8</x:v>
      </x:c>
      <x:c r="J17" s="14" t="b">
        <x:v>1</x:v>
      </x:c>
      <x:c r="K17" s="13" t="n">
        <x:v>0.75</x:v>
      </x:c>
      <x:c r="L17" s="15" t="n">
        <x:v>0.25925925925925924</x:v>
      </x:c>
      <x:c r="M17" s="15" t="n">
        <x:v>0.7777777777777778</x:v>
      </x:c>
      <x:c r="N17" s="15" t="n">
        <x:v>0.5185185185185185</x:v>
      </x:c>
      <x:c r="O17" s="15" t="n">
        <x:v>0.5859687793650923</x:v>
      </x:c>
      <x:c r="P17" s="15" t="n">
        <x:v>0.2777777777777778</x:v>
      </x:c>
    </x:row>
    <x:row r="18" ht="15" hidden="0" customHeight="1">
      <x:c r="A18" s="13" t="str">
        <x:v>corpus_robustness</x:v>
      </x:c>
      <x:c r="B18" s="13" t="str">
        <x:v>Deutsch n=25</x:v>
      </x:c>
      <x:c r="C18" s="13" t="n">
        <x:v>25</x:v>
      </x:c>
      <x:c r="D18" s="13" t="str">
        <x:v>curated_main</x:v>
      </x:c>
      <x:c r="E18" s="13" t="str">
        <x:v>field</x:v>
      </x:c>
      <x:c r="F18" s="13" t="str">
        <x:v>BM25_domain</x:v>
      </x:c>
      <x:c r="G18" s="13" t="n">
        <x:v>3</x:v>
      </x:c>
      <x:c r="H18" s="13" t="str">
        <x:v>module+section</x:v>
      </x:c>
      <x:c r="I18" s="13" t="n">
        <x:v>8</x:v>
      </x:c>
      <x:c r="J18" s="14" t="b">
        <x:v>1</x:v>
      </x:c>
      <x:c r="K18" s="13"/>
      <x:c r="L18" s="15" t="n">
        <x:v>0.23999999999999994</x:v>
      </x:c>
      <x:c r="M18" s="15" t="n">
        <x:v>0.7</x:v>
      </x:c>
      <x:c r="N18" s="15" t="n">
        <x:v>0.6533333333333334</x:v>
      </x:c>
      <x:c r="O18" s="15" t="n">
        <x:v>0.655000267996335</x:v>
      </x:c>
      <x:c r="P18" s="15" t="n">
        <x:v>0.6</x:v>
      </x:c>
    </x:row>
    <x:row r="19" ht="15" hidden="0" customHeight="1">
      <x:c r="A19" s="13" t="str">
        <x:v>corpus_robustness</x:v>
      </x:c>
      <x:c r="B19" s="13" t="str">
        <x:v>Deutsch n=25</x:v>
      </x:c>
      <x:c r="C19" s="13" t="n">
        <x:v>25</x:v>
      </x:c>
      <x:c r="D19" s="13" t="str">
        <x:v>stress_all_variants</x:v>
      </x:c>
      <x:c r="E19" s="13" t="str">
        <x:v>field</x:v>
      </x:c>
      <x:c r="F19" s="13" t="str">
        <x:v>BM25_domain</x:v>
      </x:c>
      <x:c r="G19" s="13" t="n">
        <x:v>3</x:v>
      </x:c>
      <x:c r="H19" s="13" t="str">
        <x:v>module+section</x:v>
      </x:c>
      <x:c r="I19" s="13" t="n">
        <x:v>8</x:v>
      </x:c>
      <x:c r="J19" s="14" t="b">
        <x:v>1</x:v>
      </x:c>
      <x:c r="K19" s="13"/>
      <x:c r="L19" s="15" t="n">
        <x:v>0.25333333333333324</x:v>
      </x:c>
      <x:c r="M19" s="15" t="n">
        <x:v>0.74</x:v>
      </x:c>
      <x:c r="N19" s="15" t="n">
        <x:v>0.6533333333333334</x:v>
      </x:c>
      <x:c r="O19" s="15" t="n">
        <x:v>0.6654746482820515</x:v>
      </x:c>
      <x:c r="P19" s="15" t="n">
        <x:v>0.56</x:v>
      </x:c>
    </x:row>
  </x:sheetData>
  <x:pageMargins left="0.7" right="0.7" top="0.75" bottom="0.75" header="0.3" footer="0.3"/>
  <x:tableParts count="1">
    <x:tablePart xmlns:r="http://schemas.openxmlformats.org/officeDocument/2006/relationships" r:id="Ref00bffda86f4d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3.380000114440918" hidden="0" customWidth="1"/>
    <x:col min="3" max="3" width="7.380000114440918" hidden="0" customWidth="1"/>
    <x:col min="4" max="4" width="13.880000114440918" hidden="0" customWidth="1"/>
    <x:col min="5" max="5" width="42" hidden="0" customWidth="1"/>
    <x:col min="6" max="6" width="11.380000114440918" hidden="0" customWidth="1"/>
    <x:col min="7" max="7" width="35.5" hidden="0" customWidth="1"/>
    <x:col min="8" max="8" width="14.25" hidden="0" customWidth="1"/>
    <x:col min="9" max="9" width="19.3799991607666" hidden="0" customWidth="1"/>
    <x:col min="10" max="10" width="35.5" hidden="0" customWidth="1"/>
    <x:col min="11" max="11" width="10.75" hidden="0" customWidth="1"/>
    <x:col min="12" max="12" width="21.1299991607666" hidden="0" customWidth="1"/>
    <x:col min="13" max="13" width="15" hidden="0" customWidth="1"/>
    <x:col min="14" max="14" width="42" hidden="0" customWidth="1"/>
    <x:col min="15" max="15" width="42" hidden="0" customWidth="1"/>
    <x:col min="16" max="16" width="11.380000114440918" hidden="0" customWidth="1"/>
    <x:col min="17" max="17" width="14.75" hidden="0" customWidth="1"/>
    <x:col min="18" max="18" width="10" hidden="0" customWidth="1"/>
    <x:col min="19" max="19" width="7.25" hidden="0" customWidth="1"/>
    <x:col min="20" max="20" width="12.380000114440918" hidden="0" customWidth="1"/>
    <x:col min="21" max="21" width="9.380000114440918" hidden="0" customWidth="1"/>
    <x:col min="22" max="22" width="5.25" hidden="0" customWidth="1"/>
    <x:col min="23" max="23" width="10.75" hidden="0" customWidth="1"/>
  </x:cols>
  <x:sheetData>
    <x:row r="1" ht="15" hidden="0" customHeight="1">
      <x:c r="A1" s="6" t="str">
        <x:v>query_set</x:v>
      </x:c>
      <x:c r="B1" s="6" t="str">
        <x:v>system</x:v>
      </x:c>
      <x:c r="C1" s="6" t="str">
        <x:v>query_id</x:v>
      </x:c>
      <x:c r="D1" s="6" t="str">
        <x:v>query_type</x:v>
      </x:c>
      <x:c r="E1" s="6" t="str">
        <x:v>query</x:v>
      </x:c>
      <x:c r="F1" s="6" t="str">
        <x:v>matching</x:v>
      </x:c>
      <x:c r="G1" s="6" t="str">
        <x:v>expected_document</x:v>
      </x:c>
      <x:c r="H1" s="6" t="str">
        <x:v>expected_module</x:v>
      </x:c>
      <x:c r="I1" s="6" t="str">
        <x:v>expected_section</x:v>
      </x:c>
      <x:c r="J1" s="6" t="str">
        <x:v>top1_document</x:v>
      </x:c>
      <x:c r="K1" s="6" t="str">
        <x:v>top1_module</x:v>
      </x:c>
      <x:c r="L1" s="6" t="str">
        <x:v>top1_section</x:v>
      </x:c>
      <x:c r="M1" s="6" t="str">
        <x:v>first_relevant_rank</x:v>
      </x:c>
      <x:c r="N1" s="6" t="str">
        <x:v>relevant_keys</x:v>
      </x:c>
      <x:c r="O1" s="6" t="str">
        <x:v>retrieved_keys@3</x:v>
      </x:c>
      <x:c r="P1" s="6" t="str">
        <x:v>relevant_total</x:v>
      </x:c>
      <x:c r="Q1" s="6" t="str">
        <x:v>relevant_found@3</x:v>
      </x:c>
      <x:c r="R1" s="6" t="str">
        <x:v>precision@3</x:v>
      </x:c>
      <x:c r="S1" s="6" t="str">
        <x:v>recall@3</x:v>
      </x:c>
      <x:c r="T1" s="6" t="str">
        <x:v>reciprocal_rank</x:v>
      </x:c>
      <x:c r="U1" s="6" t="str">
        <x:v>ndcg@3</x:v>
      </x:c>
      <x:c r="V1" s="6" t="str">
        <x:v>hit@1</x:v>
      </x:c>
      <x:c r="W1" s="6" t="str">
        <x:v>result</x:v>
      </x:c>
    </x:row>
    <x:row r="2" ht="15" hidden="0" customHeight="1">
      <x:c r="A2" s="13" t="str">
        <x:v>Deutsch n=25</x:v>
      </x:c>
      <x:c r="B2" s="13" t="str">
        <x:v>BM25_domain</x:v>
      </x:c>
      <x:c r="C2" s="13" t="str">
        <x:v>q01</x:v>
      </x:c>
      <x:c r="D2" s="13" t="str">
        <x:v>numerical</x:v>
      </x:c>
      <x:c r="E2" s="13" t="str">
        <x:v>Wie viele ECTS hat WP3 Information Retrieval?</x:v>
      </x:c>
      <x:c r="F2" s="13" t="str">
        <x:v>module+section</x:v>
      </x:c>
      <x:c r="G2" s="13" t="str">
        <x:v>lmu_computerlinguistik_bsc_stand_2025-09-24.pdf</x:v>
      </x:c>
      <x:c r="H2" s="13" t="str">
        <x:v>WP3</x:v>
      </x:c>
      <x:c r="I2" s="13" t="str">
        <x:v>Zugeordnete Modulteile</x:v>
      </x:c>
      <x:c r="J2" s="13" t="str">
        <x:v>lmu_computerlinguistik_bsc_stand_2025-09-24.pdf</x:v>
      </x:c>
      <x:c r="K2" s="13" t="str">
        <x:v>WP3</x:v>
      </x:c>
      <x:c r="L2" s="13" t="str">
        <x:v>Zugeordnete Modulteile</x:v>
      </x:c>
      <x:c r="M2" s="13" t="n">
        <x:v>1</x:v>
      </x:c>
      <x:c r="N2" s="13" t="str">
        <x:v>lmu_computerlinguistik_bsc_stand_2025-09-24.pdf::WP3::Zugeordnete Modulteile</x:v>
      </x:c>
      <x:c r="O2" s="13" t="str">
        <x:v>lmu_computerlinguistik_bsc_stand_2025-09-24.pdf::WP3::Zugeordnete Modulteile | lmu_computerlinguistik_bsc_stand_2025-09-24.pdf::P13::Zugeordnete Modulteile | lmu_computerlinguistik_bsc_stand_2025-09-24.pdf::P11::Zugeordnete Modulteile</x:v>
      </x:c>
      <x:c r="P2" s="13" t="n">
        <x:v>1</x:v>
      </x:c>
      <x:c r="Q2" s="13" t="n">
        <x:v>1</x:v>
      </x:c>
      <x:c r="R2" s="15" t="n">
        <x:v>0.3333333333333333</x:v>
      </x:c>
      <x:c r="S2" s="15" t="n">
        <x:v>1</x:v>
      </x:c>
      <x:c r="T2" s="15" t="n">
        <x:v>1</x:v>
      </x:c>
      <x:c r="U2" s="15" t="n">
        <x:v>1</x:v>
      </x:c>
      <x:c r="V2" s="15" t="n">
        <x:v>1</x:v>
      </x:c>
      <x:c r="W2" s="13" t="str">
        <x:v>vollständig</x:v>
      </x:c>
    </x:row>
    <x:row r="3" ht="15" hidden="0" customHeight="1">
      <x:c r="A3" s="13" t="str">
        <x:v>Deutsch n=25</x:v>
      </x:c>
      <x:c r="B3" s="13" t="str">
        <x:v>BM25_domain</x:v>
      </x:c>
      <x:c r="C3" s="13" t="str">
        <x:v>q02</x:v>
      </x:c>
      <x:c r="D3" s="13" t="str">
        <x:v>exam</x:v>
      </x:c>
      <x:c r="E3" s="13" t="str">
        <x:v>Welche Prüfungsform hat WP3 Information Retrieval?</x:v>
      </x:c>
      <x:c r="F3" s="13" t="str">
        <x:v>module+section</x:v>
      </x:c>
      <x:c r="G3" s="13" t="str">
        <x:v>lmu_computerlinguistik_bsc_stand_2025-09-24.pdf</x:v>
      </x:c>
      <x:c r="H3" s="13" t="str">
        <x:v>WP3</x:v>
      </x:c>
      <x:c r="I3" s="13" t="str">
        <x:v>Form der Modulprüfung</x:v>
      </x:c>
      <x:c r="J3" s="13" t="str">
        <x:v>lmu_computerlinguistik_bsc_stand_2025-09-24.pdf</x:v>
      </x:c>
      <x:c r="K3" s="13" t="str">
        <x:v>WP3</x:v>
      </x:c>
      <x:c r="L3" s="13" t="str">
        <x:v>Form der Modulprüfung</x:v>
      </x:c>
      <x:c r="M3" s="13" t="n">
        <x:v>1</x:v>
      </x:c>
      <x:c r="N3" s="13" t="str">
        <x:v>lmu_computerlinguistik_bsc_stand_2025-09-24.pdf::WP3::Form der Modulprüfung</x:v>
      </x:c>
      <x:c r="O3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3" s="13" t="n">
        <x:v>1</x:v>
      </x:c>
      <x:c r="Q3" s="13" t="n">
        <x:v>1</x:v>
      </x:c>
      <x:c r="R3" s="15" t="n">
        <x:v>0.3333333333333333</x:v>
      </x:c>
      <x:c r="S3" s="15" t="n">
        <x:v>1</x:v>
      </x:c>
      <x:c r="T3" s="15" t="n">
        <x:v>1</x:v>
      </x:c>
      <x:c r="U3" s="15" t="n">
        <x:v>1</x:v>
      </x:c>
      <x:c r="V3" s="15" t="n">
        <x:v>1</x:v>
      </x:c>
      <x:c r="W3" s="13" t="str">
        <x:v>vollständig</x:v>
      </x:c>
    </x:row>
    <x:row r="4" ht="15" hidden="0" customHeight="1">
      <x:c r="A4" s="13" t="str">
        <x:v>Deutsch n=25</x:v>
      </x:c>
      <x:c r="B4" s="13" t="str">
        <x:v>BM25_domain</x:v>
      </x:c>
      <x:c r="C4" s="13" t="str">
        <x:v>q03</x:v>
      </x:c>
      <x:c r="D4" s="13" t="str">
        <x:v>responsible_person</x:v>
      </x:c>
      <x:c r="E4" s="13" t="str">
        <x:v>Wer ist modulverantwortlich für P10 Statistische Methoden in der Sprachverarbeitung?</x:v>
      </x:c>
      <x:c r="F4" s="13" t="str">
        <x:v>module+section</x:v>
      </x:c>
      <x:c r="G4" s="13" t="str">
        <x:v>lmu_computerlinguistik_bsc_stand_2025-09-24.pdf</x:v>
      </x:c>
      <x:c r="H4" s="13" t="str">
        <x:v>P10</x:v>
      </x:c>
      <x:c r="I4" s="13" t="str">
        <x:v>Modulverantwortliche/r</x:v>
      </x:c>
      <x:c r="J4" s="13" t="str">
        <x:v>lmu_computerlinguistik_bsc_stand_2025-09-24.pdf</x:v>
      </x:c>
      <x:c r="K4" s="13" t="str">
        <x:v>P10</x:v>
      </x:c>
      <x:c r="L4" s="13" t="str">
        <x:v>Modulverantwortliche/r</x:v>
      </x:c>
      <x:c r="M4" s="13" t="n">
        <x:v>1</x:v>
      </x:c>
      <x:c r="N4" s="13" t="str">
        <x:v>lmu_computerlinguistik_bsc_stand_2025-09-24.pdf::P10::Modulverantwortliche/r</x:v>
      </x:c>
      <x:c r="O4" s="13" t="str">
        <x:v>lmu_computerlinguistik_bsc_stand_2025-09-24.pdf::P10::Modulverantwortliche/r | lmu_computerlinguistik_bsc_stand_2025-09-24.pdf::P10::header | lmu_computerlinguistik_bsc_stand_2025-09-24.pdf::P10::Wahlpflichtregelungen</x:v>
      </x:c>
      <x:c r="P4" s="13" t="n">
        <x:v>1</x:v>
      </x:c>
      <x:c r="Q4" s="13" t="n">
        <x:v>1</x:v>
      </x:c>
      <x:c r="R4" s="15" t="n">
        <x:v>0.3333333333333333</x:v>
      </x:c>
      <x:c r="S4" s="15" t="n">
        <x:v>1</x:v>
      </x:c>
      <x:c r="T4" s="15" t="n">
        <x:v>1</x:v>
      </x:c>
      <x:c r="U4" s="15" t="n">
        <x:v>1</x:v>
      </x:c>
      <x:c r="V4" s="15" t="n">
        <x:v>1</x:v>
      </x:c>
      <x:c r="W4" s="13" t="str">
        <x:v>vollständig</x:v>
      </x:c>
    </x:row>
    <x:row r="5" ht="15" hidden="0" customHeight="1">
      <x:c r="A5" s="13" t="str">
        <x:v>Deutsch n=25</x:v>
      </x:c>
      <x:c r="B5" s="13" t="str">
        <x:v>BM25_domain</x:v>
      </x:c>
      <x:c r="C5" s="13" t="str">
        <x:v>q04</x:v>
      </x:c>
      <x:c r="D5" s="13" t="str">
        <x:v>semester</x:v>
      </x:c>
      <x:c r="E5" s="13" t="str">
        <x:v>In welchem Semester wird P8 empfohlen?</x:v>
      </x:c>
      <x:c r="F5" s="13" t="str">
        <x:v>module+section</x:v>
      </x:c>
      <x:c r="G5" s="13" t="str">
        <x:v>lmu_computerlinguistik_bsc_stand_2025-09-24.pdf</x:v>
      </x:c>
      <x:c r="H5" s="13" t="str">
        <x:v>P8</x:v>
      </x:c>
      <x:c r="I5" s="13" t="str">
        <x:v>Zeitpunkt im Studienverlauf</x:v>
      </x:c>
      <x:c r="J5" s="13" t="str">
        <x:v>lmu_computerlinguistik_bsc_stand_2025-09-24.pdf</x:v>
      </x:c>
      <x:c r="K5" s="13" t="str">
        <x:v>P8</x:v>
      </x:c>
      <x:c r="L5" s="13" t="str">
        <x:v>Zeitpunkt im Studienverlauf</x:v>
      </x:c>
      <x:c r="M5" s="13" t="n">
        <x:v>1</x:v>
      </x:c>
      <x:c r="N5" s="13" t="str">
        <x:v>lmu_computerlinguistik_bsc_stand_2025-09-24.pdf::P8::Zeitpunkt im Studienverlauf</x:v>
      </x:c>
      <x:c r="O5" s="13" t="str">
        <x:v>lmu_computerlinguistik_bsc_stand_2025-09-24.pdf::P8::Zeitpunkt im Studienverlauf | lmu_computerlinguistik_bsc_stand_2025-09-24.pdf::P1::Zeitpunkt im Studienverlauf | lmu_computerlinguistik_bsc_stand_2025-09-24.pdf::P2::Zeitpunkt im Studienverlauf</x:v>
      </x:c>
      <x:c r="P5" s="13" t="n">
        <x:v>1</x:v>
      </x:c>
      <x:c r="Q5" s="13" t="n">
        <x:v>1</x:v>
      </x:c>
      <x:c r="R5" s="15" t="n">
        <x:v>0.3333333333333333</x:v>
      </x:c>
      <x:c r="S5" s="15" t="n">
        <x:v>1</x:v>
      </x:c>
      <x:c r="T5" s="15" t="n">
        <x:v>1</x:v>
      </x:c>
      <x:c r="U5" s="15" t="n">
        <x:v>1</x:v>
      </x:c>
      <x:c r="V5" s="15" t="n">
        <x:v>1</x:v>
      </x:c>
      <x:c r="W5" s="13" t="str">
        <x:v>vollständig</x:v>
      </x:c>
    </x:row>
    <x:row r="6" ht="15" hidden="0" customHeight="1">
      <x:c r="A6" s="13" t="str">
        <x:v>Deutsch n=25</x:v>
      </x:c>
      <x:c r="B6" s="13" t="str">
        <x:v>BM25_domain</x:v>
      </x:c>
      <x:c r="C6" s="13" t="str">
        <x:v>q05</x:v>
      </x:c>
      <x:c r="D6" s="13" t="str">
        <x:v>content</x:v>
      </x:c>
      <x:c r="E6" s="13" t="str">
        <x:v>Welche Inhalte behandelt P11 Informationsextraktion?</x:v>
      </x:c>
      <x:c r="F6" s="13" t="str">
        <x:v>module+section</x:v>
      </x:c>
      <x:c r="G6" s="13" t="str">
        <x:v>lmu_computerlinguistik_bsc_stand_2025-09-24.pdf</x:v>
      </x:c>
      <x:c r="H6" s="13" t="str">
        <x:v>P11</x:v>
      </x:c>
      <x:c r="I6" s="13" t="str">
        <x:v>Inhalte</x:v>
      </x:c>
      <x:c r="J6" s="13" t="str">
        <x:v>lmu_computerlinguistik_bsc_stand_2025-09-24.pdf</x:v>
      </x:c>
      <x:c r="K6" s="13" t="str">
        <x:v>P12</x:v>
      </x:c>
      <x:c r="L6" s="13" t="str">
        <x:v>Inhalte</x:v>
      </x:c>
      <x:c r="M6" s="13" t="n">
        <x:v>3</x:v>
      </x:c>
      <x:c r="N6" s="13" t="str">
        <x:v>lmu_computerlinguistik_bsc_stand_2025-09-24.pdf::P11::Inhalte</x:v>
      </x:c>
      <x:c r="O6" s="13" t="str">
        <x:v>lmu_computerlinguistik_bsc_stand_2025-09-24.pdf::P12::Inhalte | lmu_computerlinguistik_bsc_stand_2025-09-24.pdf::P7::Inhalte | lmu_computerlinguistik_bsc_stand_2025-09-24.pdf::P11::Inhalte</x:v>
      </x:c>
      <x:c r="P6" s="13" t="n">
        <x:v>1</x:v>
      </x:c>
      <x:c r="Q6" s="13" t="n">
        <x:v>1</x:v>
      </x:c>
      <x:c r="R6" s="15" t="n">
        <x:v>0.3333333333333333</x:v>
      </x:c>
      <x:c r="S6" s="15" t="n">
        <x:v>1</x:v>
      </x:c>
      <x:c r="T6" s="15" t="n">
        <x:v>0.3333333333333333</x:v>
      </x:c>
      <x:c r="U6" s="15" t="n">
        <x:v>0.5</x:v>
      </x:c>
      <x:c r="V6" s="15"/>
      <x:c r="W6" s="13" t="str">
        <x:v>vollständig</x:v>
      </x:c>
    </x:row>
    <x:row r="7" ht="15" hidden="0" customHeight="1">
      <x:c r="A7" s="13" t="str">
        <x:v>Deutsch n=25</x:v>
      </x:c>
      <x:c r="B7" s="13" t="str">
        <x:v>BM25_domain</x:v>
      </x:c>
      <x:c r="C7" s="13" t="str">
        <x:v>q06</x:v>
      </x:c>
      <x:c r="D7" s="13" t="str">
        <x:v>prerequisite</x:v>
      </x:c>
      <x:c r="E7" s="13" t="str">
        <x:v>Welche Teilnahmevoraussetzungen hat P4 Mathematische Grundlagen der Computerlinguistik?</x:v>
      </x:c>
      <x:c r="F7" s="13" t="str">
        <x:v>module+section</x:v>
      </x:c>
      <x:c r="G7" s="13" t="str">
        <x:v>lmu_computerlinguistik_bsc_stand_2025-09-24.pdf</x:v>
      </x:c>
      <x:c r="H7" s="13" t="str">
        <x:v>P4</x:v>
      </x:c>
      <x:c r="I7" s="13" t="str">
        <x:v>Teilnahmevoraussetzung</x:v>
      </x:c>
      <x:c r="J7" s="13" t="str">
        <x:v>lmu_computerlinguistik_bsc_stand_2025-09-24.pdf</x:v>
      </x:c>
      <x:c r="K7" s="13" t="str">
        <x:v>P4</x:v>
      </x:c>
      <x:c r="L7" s="13" t="str">
        <x:v>Teilnahmevoraussetzung</x:v>
      </x:c>
      <x:c r="M7" s="13" t="n">
        <x:v>1</x:v>
      </x:c>
      <x:c r="N7" s="13" t="str">
        <x:v>lmu_computerlinguistik_bsc_stand_2025-09-24.pdf::P4::Teilnahmevoraussetzung</x:v>
      </x:c>
      <x:c r="O7" s="13" t="str">
        <x:v>lmu_computerlinguistik_bsc_stand_2025-09-24.pdf::P4::Teilnahmevoraussetzung | lmu_computerlinguistik_bsc_stand_2025-09-24.pdf::WP4::Teilnahmevoraussetzung | lmu_computerlinguistik_bsc_stand_2025-09-24.pdf::P2::Teilnahmevoraussetzung</x:v>
      </x:c>
      <x:c r="P7" s="13" t="n">
        <x:v>1</x:v>
      </x:c>
      <x:c r="Q7" s="13" t="n">
        <x:v>1</x:v>
      </x:c>
      <x:c r="R7" s="15" t="n">
        <x:v>0.3333333333333333</x:v>
      </x:c>
      <x:c r="S7" s="15" t="n">
        <x:v>1</x:v>
      </x:c>
      <x:c r="T7" s="15" t="n">
        <x:v>1</x:v>
      </x:c>
      <x:c r="U7" s="15" t="n">
        <x:v>1</x:v>
      </x:c>
      <x:c r="V7" s="15" t="n">
        <x:v>1</x:v>
      </x:c>
      <x:c r="W7" s="13" t="str">
        <x:v>vollständig</x:v>
      </x:c>
    </x:row>
    <x:row r="8" ht="15" hidden="0" customHeight="1">
      <x:c r="A8" s="13" t="str">
        <x:v>Deutsch n=25</x:v>
      </x:c>
      <x:c r="B8" s="13" t="str">
        <x:v>BM25_domain</x:v>
      </x:c>
      <x:c r="C8" s="13" t="str">
        <x:v>q07</x:v>
      </x:c>
      <x:c r="D8" s="13" t="str">
        <x:v>broad_topic</x:v>
      </x:c>
      <x:c r="E8" s="13" t="str">
        <x:v>Welche Module behandeln Informationssuche und Suchmaschinen?</x:v>
      </x:c>
      <x:c r="F8" s="13" t="str">
        <x:v>module+section</x:v>
      </x:c>
      <x:c r="G8" s="13" t="str">
        <x:v>lmu_computerlinguistik_bsc_stand_2025-09-24.pdf</x:v>
      </x:c>
      <x:c r="H8" s="13" t="str">
        <x:v>WP3</x:v>
      </x:c>
      <x:c r="I8" s="13" t="str">
        <x:v>Inhalte</x:v>
      </x:c>
      <x:c r="J8" s="13" t="str">
        <x:v>lmu_computerlinguistik_bsc_stand_2025-09-24.pdf</x:v>
      </x:c>
      <x:c r="K8" s="13" t="str">
        <x:v>WP3</x:v>
      </x:c>
      <x:c r="L8" s="13" t="str">
        <x:v>Qualifikationsziele</x:v>
      </x:c>
      <x:c r="M8" s="13"/>
      <x:c r="N8" s="13" t="str">
        <x:v>lmu_computerlinguistik_bsc_stand_2025-09-24.pdf::WP3::Inhalte</x:v>
      </x:c>
      <x:c r="O8" s="13" t="str">
        <x:v>lmu_computerlinguistik_bsc_stand_2025-09-24.pdf::WP3::Qualifikationsziele | lmu_computerlinguistik_bsc_stand_2025-09-24.pdf::P7::Qualifikationsziele | lmu_computerlinguistik_bsc_stand_2025-09-24.pdf::P13::Englischer Modultitel</x:v>
      </x:c>
      <x:c r="P8" s="13" t="n">
        <x:v>1</x:v>
      </x:c>
      <x:c r="Q8" s="13"/>
      <x:c r="R8" s="15"/>
      <x:c r="S8" s="15"/>
      <x:c r="T8" s="15"/>
      <x:c r="U8" s="15"/>
      <x:c r="V8" s="15"/>
      <x:c r="W8" s="13" t="str">
        <x:v>nicht gefunden</x:v>
      </x:c>
    </x:row>
    <x:row r="9" ht="15" hidden="0" customHeight="1">
      <x:c r="A9" s="13" t="str">
        <x:v>Deutsch n=25</x:v>
      </x:c>
      <x:c r="B9" s="13" t="str">
        <x:v>BM25_domain</x:v>
      </x:c>
      <x:c r="C9" s="13" t="str">
        <x:v>q08</x:v>
      </x:c>
      <x:c r="D9" s="13" t="str">
        <x:v>broad_topic</x:v>
      </x:c>
      <x:c r="E9" s="13" t="str">
        <x:v>Welches Modul behandelt reguläre Sprachen und endliche Automaten?</x:v>
      </x:c>
      <x:c r="F9" s="13" t="str">
        <x:v>module+section</x:v>
      </x:c>
      <x:c r="G9" s="13" t="str">
        <x:v>lmu_computerlinguistik_bsc_stand_2025-09-24.pdf</x:v>
      </x:c>
      <x:c r="H9" s="13" t="str">
        <x:v>P7</x:v>
      </x:c>
      <x:c r="I9" s="13" t="str">
        <x:v>Inhalte</x:v>
      </x:c>
      <x:c r="J9" s="13" t="str">
        <x:v>lmu_computerlinguistik_bsc_stand_2025-09-24.pdf</x:v>
      </x:c>
      <x:c r="K9" s="13" t="str">
        <x:v>P7</x:v>
      </x:c>
      <x:c r="L9" s="13" t="str">
        <x:v>Inhalte</x:v>
      </x:c>
      <x:c r="M9" s="13" t="n">
        <x:v>1</x:v>
      </x:c>
      <x:c r="N9" s="13" t="str">
        <x:v>lmu_computerlinguistik_bsc_stand_2025-09-24.pdf::P7::Inhalte</x:v>
      </x:c>
      <x:c r="O9" s="13" t="str">
        <x:v>lmu_computerlinguistik_bsc_stand_2025-09-24.pdf::P7::Inhalte | lmu_computerlinguistik_bsc_stand_2025-09-24.pdf::P2::Inhalte | lmu_computerlinguistik_bsc_stand_2025-09-24.pdf::P7::Unterrichtssprache</x:v>
      </x:c>
      <x:c r="P9" s="13" t="n">
        <x:v>1</x:v>
      </x:c>
      <x:c r="Q9" s="13" t="n">
        <x:v>1</x:v>
      </x:c>
      <x:c r="R9" s="15" t="n">
        <x:v>0.3333333333333333</x:v>
      </x:c>
      <x:c r="S9" s="15" t="n">
        <x:v>1</x:v>
      </x:c>
      <x:c r="T9" s="15" t="n">
        <x:v>1</x:v>
      </x:c>
      <x:c r="U9" s="15" t="n">
        <x:v>1</x:v>
      </x:c>
      <x:c r="V9" s="15" t="n">
        <x:v>1</x:v>
      </x:c>
      <x:c r="W9" s="13" t="str">
        <x:v>vollständig</x:v>
      </x:c>
    </x:row>
    <x:row r="10" ht="15" hidden="0" customHeight="1">
      <x:c r="A10" s="13" t="str">
        <x:v>Deutsch n=25</x:v>
      </x:c>
      <x:c r="B10" s="13" t="str">
        <x:v>BM25_domain</x:v>
      </x:c>
      <x:c r="C10" s="13" t="str">
        <x:v>q09</x:v>
      </x:c>
      <x:c r="D10" s="13" t="str">
        <x:v>language</x:v>
      </x:c>
      <x:c r="E10" s="13" t="str">
        <x:v>Welche Unterrichtssprache hat P1 Einführung in die Programmierung?</x:v>
      </x:c>
      <x:c r="F10" s="13" t="str">
        <x:v>module+section</x:v>
      </x:c>
      <x:c r="G10" s="13" t="str">
        <x:v>lmu_computerlinguistik_bsc_stand_2025-09-24.pdf</x:v>
      </x:c>
      <x:c r="H10" s="13" t="str">
        <x:v>P1</x:v>
      </x:c>
      <x:c r="I10" s="13" t="str">
        <x:v>Unterrichtssprache</x:v>
      </x:c>
      <x:c r="J10" s="13" t="str">
        <x:v>lmu_computerlinguistik_bsc_stand_2025-09-24.pdf</x:v>
      </x:c>
      <x:c r="K10" s="13" t="str">
        <x:v>P1</x:v>
      </x:c>
      <x:c r="L10" s="13" t="str">
        <x:v>Unterrichtssprache</x:v>
      </x:c>
      <x:c r="M10" s="13" t="n">
        <x:v>1</x:v>
      </x:c>
      <x:c r="N10" s="13" t="str">
        <x:v>lmu_computerlinguistik_bsc_stand_2025-09-24.pdf::P1::Unterrichtssprache</x:v>
      </x:c>
      <x:c r="O10" s="13" t="str">
        <x:v>lmu_computerlinguistik_bsc_stand_2025-09-24.pdf::P1::Unterrichtssprache | lmu_computerlinguistik_bsc_stand_2025-09-24.pdf::P2::Unterrichtssprache | lmu_computerlinguistik_bsc_stand_2025-09-24.pdf::P10::Unterrichtssprache</x:v>
      </x:c>
      <x:c r="P10" s="13" t="n">
        <x:v>1</x:v>
      </x:c>
      <x:c r="Q10" s="13" t="n">
        <x:v>1</x:v>
      </x:c>
      <x:c r="R10" s="15" t="n">
        <x:v>0.3333333333333333</x:v>
      </x:c>
      <x:c r="S10" s="15" t="n">
        <x:v>1</x:v>
      </x:c>
      <x:c r="T10" s="15" t="n">
        <x:v>1</x:v>
      </x:c>
      <x:c r="U10" s="15" t="n">
        <x:v>1</x:v>
      </x:c>
      <x:c r="V10" s="15" t="n">
        <x:v>1</x:v>
      </x:c>
      <x:c r="W10" s="13" t="str">
        <x:v>vollständig</x:v>
      </x:c>
    </x:row>
    <x:row r="11" ht="15" hidden="0" customHeight="1">
      <x:c r="A11" s="13" t="str">
        <x:v>Deutsch n=25</x:v>
      </x:c>
      <x:c r="B11" s="13" t="str">
        <x:v>BM25_domain</x:v>
      </x:c>
      <x:c r="C11" s="13" t="str">
        <x:v>q10</x:v>
      </x:c>
      <x:c r="D11" s="13" t="str">
        <x:v>broad_topic</x:v>
      </x:c>
      <x:c r="E11" s="13" t="str">
        <x:v>Welche Wahlpflichtmodule gibt es zu Morphologie und Lexikographie?</x:v>
      </x:c>
      <x:c r="F11" s="13" t="str">
        <x:v>module+section</x:v>
      </x:c>
      <x:c r="G11" s="13" t="str">
        <x:v>lmu_computerlinguistik_bsc_stand_2025-09-24.pdf</x:v>
      </x:c>
      <x:c r="H11" s="13" t="str">
        <x:v>WP1</x:v>
      </x:c>
      <x:c r="I11" s="13" t="str">
        <x:v>Inhalte;header</x:v>
      </x:c>
      <x:c r="J11" s="13" t="str">
        <x:v>lmu_computerlinguistik_bsc_stand_2025-09-24.pdf</x:v>
      </x:c>
      <x:c r="K11" s="13" t="str">
        <x:v>WP1</x:v>
      </x:c>
      <x:c r="L11" s="13" t="str">
        <x:v>header</x:v>
      </x:c>
      <x:c r="M11" s="13" t="n">
        <x:v>1</x:v>
      </x:c>
      <x:c r="N11" s="13" t="str">
        <x:v>lmu_computerlinguistik_bsc_stand_2025-09-24.pdf::WP1::Inhalte | lmu_computerlinguistik_bsc_stand_2025-09-24.pdf::WP1::header</x:v>
      </x:c>
      <x:c r="O11" s="13" t="str">
        <x:v>lmu_computerlinguistik_bsc_stand_2025-09-24.pdf::WP1::header | lmu_computerlinguistik_bsc_stand_2025-09-24.pdf::WP1::Wahlpflichtregelungen | lmu_computerlinguistik_bsc_stand_2025-09-24.pdf::WP1::Qualifikationsziele</x:v>
      </x:c>
      <x:c r="P11" s="13" t="n">
        <x:v>2</x:v>
      </x:c>
      <x:c r="Q11" s="13" t="n">
        <x:v>1</x:v>
      </x:c>
      <x:c r="R11" s="15" t="n">
        <x:v>0.3333333333333333</x:v>
      </x:c>
      <x:c r="S11" s="15" t="n">
        <x:v>0.5</x:v>
      </x:c>
      <x:c r="T11" s="15" t="n">
        <x:v>1</x:v>
      </x:c>
      <x:c r="U11" s="15" t="n">
        <x:v>0.6131471927654584</x:v>
      </x:c>
      <x:c r="V11" s="15" t="n">
        <x:v>1</x:v>
      </x:c>
      <x:c r="W11" s="13" t="str">
        <x:v>teilweise</x:v>
      </x:c>
    </x:row>
    <x:row r="12" ht="15" hidden="0" customHeight="1">
      <x:c r="A12" s="13" t="str">
        <x:v>Deutsch n=25</x:v>
      </x:c>
      <x:c r="B12" s="13" t="str">
        <x:v>BM25_domain</x:v>
      </x:c>
      <x:c r="C12" s="13" t="str">
        <x:v>q11</x:v>
      </x:c>
      <x:c r="D12" s="13" t="str">
        <x:v>numerical</x:v>
      </x:c>
      <x:c r="E12" s="13" t="str">
        <x:v>Wie viele ECTS hat P13 Abschlussmodul?</x:v>
      </x:c>
      <x:c r="F12" s="13" t="str">
        <x:v>module+section</x:v>
      </x:c>
      <x:c r="G12" s="13" t="str">
        <x:v>lmu_computerlinguistik_bsc_stand_2025-09-24.pdf</x:v>
      </x:c>
      <x:c r="H12" s="13" t="str">
        <x:v>P13</x:v>
      </x:c>
      <x:c r="I12" s="13" t="str">
        <x:v>Zugeordnete Modulteile</x:v>
      </x:c>
      <x:c r="J12" s="13" t="str">
        <x:v>lmu_computerlinguistik_bsc_stand_2025-09-24.pdf</x:v>
      </x:c>
      <x:c r="K12" s="13" t="str">
        <x:v>P13</x:v>
      </x:c>
      <x:c r="L12" s="13" t="str">
        <x:v>Zugeordnete Modulteile</x:v>
      </x:c>
      <x:c r="M12" s="13" t="n">
        <x:v>1</x:v>
      </x:c>
      <x:c r="N12" s="13" t="str">
        <x:v>lmu_computerlinguistik_bsc_stand_2025-09-24.pdf::P13::Zugeordnete Modulteile</x:v>
      </x:c>
      <x:c r="O12" s="13" t="str">
        <x:v>lmu_computerlinguistik_bsc_stand_2025-09-24.pdf::P13::Zugeordnete Modulteile | lmu_computerlinguistik_bsc_stand_2025-09-24.pdf::P11::Zugeordnete Modulteile | lmu_computerlinguistik_bsc_stand_2025-09-24.pdf::P5::Zugeordnete Modulteile</x:v>
      </x:c>
      <x:c r="P12" s="13" t="n">
        <x:v>1</x:v>
      </x:c>
      <x:c r="Q12" s="13" t="n">
        <x:v>1</x:v>
      </x:c>
      <x:c r="R12" s="15" t="n">
        <x:v>0.3333333333333333</x:v>
      </x:c>
      <x:c r="S12" s="15" t="n">
        <x:v>1</x:v>
      </x:c>
      <x:c r="T12" s="15" t="n">
        <x:v>1</x:v>
      </x:c>
      <x:c r="U12" s="15" t="n">
        <x:v>1</x:v>
      </x:c>
      <x:c r="V12" s="15" t="n">
        <x:v>1</x:v>
      </x:c>
      <x:c r="W12" s="13" t="str">
        <x:v>vollständig</x:v>
      </x:c>
    </x:row>
    <x:row r="13" ht="15" hidden="0" customHeight="1">
      <x:c r="A13" s="13" t="str">
        <x:v>Deutsch n=25</x:v>
      </x:c>
      <x:c r="B13" s="13" t="str">
        <x:v>BM25_domain</x:v>
      </x:c>
      <x:c r="C13" s="13" t="str">
        <x:v>q12</x:v>
      </x:c>
      <x:c r="D13" s="13" t="str">
        <x:v>exam</x:v>
      </x:c>
      <x:c r="E13" s="13" t="str">
        <x:v>Welche Prüfungsform hat P13 Abschlussmodul?</x:v>
      </x:c>
      <x:c r="F13" s="13" t="str">
        <x:v>module+section</x:v>
      </x:c>
      <x:c r="G13" s="13" t="str">
        <x:v>lmu_computerlinguistik_bsc_stand_2025-09-24.pdf</x:v>
      </x:c>
      <x:c r="H13" s="13" t="str">
        <x:v>P13</x:v>
      </x:c>
      <x:c r="I13" s="13" t="str">
        <x:v>Form der Modulprüfung</x:v>
      </x:c>
      <x:c r="J13" s="13" t="str">
        <x:v>lmu_computerlinguistik_bsc_stand_2025-09-24.pdf</x:v>
      </x:c>
      <x:c r="K13" s="13" t="str">
        <x:v>P5</x:v>
      </x:c>
      <x:c r="L13" s="13" t="str">
        <x:v>Form der Modulprüfung</x:v>
      </x:c>
      <x:c r="M13" s="13"/>
      <x:c r="N13" s="13" t="str">
        <x:v>lmu_computerlinguistik_bsc_stand_2025-09-24.pdf::P13::Form der Modulprüfung</x:v>
      </x:c>
      <x:c r="O13" s="13" t="str">
        <x:v>lmu_computerlinguistik_bsc_stand_2025-09-24.pdf::P5::Form der Modulprüfung | lmu_computerlinguistik_bsc_stand_2025-09-24.pdf::P7::Form der Modulprüfung | lmu_computerlinguistik_bsc_stand_2025-09-24.pdf::P6::Form der Modulprüfung</x:v>
      </x:c>
      <x:c r="P13" s="13" t="n">
        <x:v>1</x:v>
      </x:c>
      <x:c r="Q13" s="13"/>
      <x:c r="R13" s="15"/>
      <x:c r="S13" s="15"/>
      <x:c r="T13" s="15"/>
      <x:c r="U13" s="15"/>
      <x:c r="V13" s="15"/>
      <x:c r="W13" s="13" t="str">
        <x:v>nicht gefunden</x:v>
      </x:c>
    </x:row>
    <x:row r="14" ht="15" hidden="0" customHeight="1">
      <x:c r="A14" s="13" t="str">
        <x:v>Deutsch n=25</x:v>
      </x:c>
      <x:c r="B14" s="13" t="str">
        <x:v>BM25_domain</x:v>
      </x:c>
      <x:c r="C14" s="13" t="str">
        <x:v>q13</x:v>
      </x:c>
      <x:c r="D14" s="13" t="str">
        <x:v>responsible_person</x:v>
      </x:c>
      <x:c r="E14" s="13" t="str">
        <x:v>Wer ist für WP4 Angewandtes Programmieren in der Computerlinguistik verantwortlich?</x:v>
      </x:c>
      <x:c r="F14" s="13" t="str">
        <x:v>module+section</x:v>
      </x:c>
      <x:c r="G14" s="13" t="str">
        <x:v>lmu_computerlinguistik_bsc_stand_2025-09-24.pdf</x:v>
      </x:c>
      <x:c r="H14" s="13" t="str">
        <x:v>WP4</x:v>
      </x:c>
      <x:c r="I14" s="13" t="str">
        <x:v>Modulverantwortliche/r</x:v>
      </x:c>
      <x:c r="J14" s="13" t="str">
        <x:v>lmu_computerlinguistik_bsc_stand_2025-09-24.pdf</x:v>
      </x:c>
      <x:c r="K14" s="13" t="str">
        <x:v>WP4</x:v>
      </x:c>
      <x:c r="L14" s="13" t="str">
        <x:v>Modulverantwortliche/r</x:v>
      </x:c>
      <x:c r="M14" s="13" t="n">
        <x:v>1</x:v>
      </x:c>
      <x:c r="N14" s="13" t="str">
        <x:v>lmu_computerlinguistik_bsc_stand_2025-09-24.pdf::WP4::Modulverantwortliche/r</x:v>
      </x:c>
      <x:c r="O14" s="13" t="str">
        <x:v>lmu_computerlinguistik_bsc_stand_2025-09-24.pdf::WP4::Modulverantwortliche/r | lmu_computerlinguistik_bsc_stand_2025-09-24.pdf::WP4::header | lmu_computerlinguistik_bsc_stand_2025-09-24.pdf::P2::Modulverantwortliche/r</x:v>
      </x:c>
      <x:c r="P14" s="13" t="n">
        <x:v>1</x:v>
      </x:c>
      <x:c r="Q14" s="13" t="n">
        <x:v>1</x:v>
      </x:c>
      <x:c r="R14" s="15" t="n">
        <x:v>0.3333333333333333</x:v>
      </x:c>
      <x:c r="S14" s="15" t="n">
        <x:v>1</x:v>
      </x:c>
      <x:c r="T14" s="15" t="n">
        <x:v>1</x:v>
      </x:c>
      <x:c r="U14" s="15" t="n">
        <x:v>1</x:v>
      </x:c>
      <x:c r="V14" s="15" t="n">
        <x:v>1</x:v>
      </x:c>
      <x:c r="W14" s="13" t="str">
        <x:v>vollständig</x:v>
      </x:c>
    </x:row>
    <x:row r="15" ht="15" hidden="0" customHeight="1">
      <x:c r="A15" s="13" t="str">
        <x:v>Deutsch n=25</x:v>
      </x:c>
      <x:c r="B15" s="13" t="str">
        <x:v>BM25_domain</x:v>
      </x:c>
      <x:c r="C15" s="13" t="str">
        <x:v>q14</x:v>
      </x:c>
      <x:c r="D15" s="13" t="str">
        <x:v>semester</x:v>
      </x:c>
      <x:c r="E15" s="13" t="str">
        <x:v>In welchem Semester wird P10 Statistische Methoden in der Sprachverarbeitung empfohlen?</x:v>
      </x:c>
      <x:c r="F15" s="13" t="str">
        <x:v>module+section</x:v>
      </x:c>
      <x:c r="G15" s="13" t="str">
        <x:v>lmu_computerlinguistik_bsc_stand_2025-09-24.pdf</x:v>
      </x:c>
      <x:c r="H15" s="13" t="str">
        <x:v>P10</x:v>
      </x:c>
      <x:c r="I15" s="13" t="str">
        <x:v>Zeitpunkt im Studienverlauf</x:v>
      </x:c>
      <x:c r="J15" s="13" t="str">
        <x:v>lmu_computerlinguistik_bsc_stand_2025-09-24.pdf</x:v>
      </x:c>
      <x:c r="K15" s="13" t="str">
        <x:v>P10</x:v>
      </x:c>
      <x:c r="L15" s="13" t="str">
        <x:v>Zeitpunkt im Studienverlauf</x:v>
      </x:c>
      <x:c r="M15" s="13" t="n">
        <x:v>1</x:v>
      </x:c>
      <x:c r="N15" s="13" t="str">
        <x:v>lmu_computerlinguistik_bsc_stand_2025-09-24.pdf::P10::Zeitpunkt im Studienverlauf</x:v>
      </x:c>
      <x:c r="O15" s="13" t="str">
        <x:v>lmu_computerlinguistik_bsc_stand_2025-09-24.pdf::P10::Zeitpunkt im Studienverlauf | lmu_computerlinguistik_bsc_stand_2025-09-24.pdf::WP4::Zeitpunkt im Studienverlauf | lmu_computerlinguistik_bsc_stand_2025-09-24.pdf::P1::Zeitpunkt im Studienverlauf</x:v>
      </x:c>
      <x:c r="P15" s="13" t="n">
        <x:v>1</x:v>
      </x:c>
      <x:c r="Q15" s="13" t="n">
        <x:v>1</x:v>
      </x:c>
      <x:c r="R15" s="15" t="n">
        <x:v>0.3333333333333333</x:v>
      </x:c>
      <x:c r="S15" s="15" t="n">
        <x:v>1</x:v>
      </x:c>
      <x:c r="T15" s="15" t="n">
        <x:v>1</x:v>
      </x:c>
      <x:c r="U15" s="15" t="n">
        <x:v>1</x:v>
      </x:c>
      <x:c r="V15" s="15" t="n">
        <x:v>1</x:v>
      </x:c>
      <x:c r="W15" s="13" t="str">
        <x:v>vollständig</x:v>
      </x:c>
    </x:row>
    <x:row r="16" ht="15" hidden="0" customHeight="1">
      <x:c r="A16" s="13" t="str">
        <x:v>Deutsch n=25</x:v>
      </x:c>
      <x:c r="B16" s="13" t="str">
        <x:v>BM25_domain</x:v>
      </x:c>
      <x:c r="C16" s="13" t="str">
        <x:v>q15</x:v>
      </x:c>
      <x:c r="D16" s="13" t="str">
        <x:v>content</x:v>
      </x:c>
      <x:c r="E16" s="13" t="str">
        <x:v>Welche Inhalte behandelt P8 Computerlinguistische Anwendungen und Korpusbearbeitung?</x:v>
      </x:c>
      <x:c r="F16" s="13" t="str">
        <x:v>module+section</x:v>
      </x:c>
      <x:c r="G16" s="13" t="str">
        <x:v>lmu_computerlinguistik_bsc_stand_2025-09-24.pdf</x:v>
      </x:c>
      <x:c r="H16" s="13" t="str">
        <x:v>P8</x:v>
      </x:c>
      <x:c r="I16" s="13" t="str">
        <x:v>Inhalte</x:v>
      </x:c>
      <x:c r="J16" s="13" t="str">
        <x:v>lmu_computerlinguistik_bsc_stand_2025-09-24.pdf</x:v>
      </x:c>
      <x:c r="K16" s="13" t="str">
        <x:v>P2</x:v>
      </x:c>
      <x:c r="L16" s="13" t="str">
        <x:v>Inhalte</x:v>
      </x:c>
      <x:c r="M16" s="13" t="n">
        <x:v>2</x:v>
      </x:c>
      <x:c r="N16" s="13" t="str">
        <x:v>lmu_computerlinguistik_bsc_stand_2025-09-24.pdf::P8::Inhalte</x:v>
      </x:c>
      <x:c r="O16" s="13" t="str">
        <x:v>lmu_computerlinguistik_bsc_stand_2025-09-24.pdf::P2::Inhalte | lmu_computerlinguistik_bsc_stand_2025-09-24.pdf::P8::Inhalte | lmu_computerlinguistik_bsc_stand_2025-09-24.pdf::P12::Inhalte</x:v>
      </x:c>
      <x:c r="P16" s="13" t="n">
        <x:v>1</x:v>
      </x:c>
      <x:c r="Q16" s="13" t="n">
        <x:v>1</x:v>
      </x:c>
      <x:c r="R16" s="15" t="n">
        <x:v>0.3333333333333333</x:v>
      </x:c>
      <x:c r="S16" s="15" t="n">
        <x:v>1</x:v>
      </x:c>
      <x:c r="T16" s="15" t="n">
        <x:v>0.5</x:v>
      </x:c>
      <x:c r="U16" s="15" t="n">
        <x:v>0.6309297535714575</x:v>
      </x:c>
      <x:c r="V16" s="15"/>
      <x:c r="W16" s="13" t="str">
        <x:v>vollständig</x:v>
      </x:c>
    </x:row>
    <x:row r="17" ht="15" hidden="0" customHeight="1">
      <x:c r="A17" s="13" t="str">
        <x:v>Deutsch n=25</x:v>
      </x:c>
      <x:c r="B17" s="13" t="str">
        <x:v>BM25_domain</x:v>
      </x:c>
      <x:c r="C17" s="13" t="str">
        <x:v>q16</x:v>
      </x:c>
      <x:c r="D17" s="13" t="str">
        <x:v>exam</x:v>
      </x:c>
      <x:c r="E17" s="13" t="str">
        <x:v>Welche Prüfungsform hat P11 Informationsextraktion?</x:v>
      </x:c>
      <x:c r="F17" s="13" t="str">
        <x:v>module+section</x:v>
      </x:c>
      <x:c r="G17" s="13" t="str">
        <x:v>lmu_computerlinguistik_bsc_stand_2025-09-24.pdf</x:v>
      </x:c>
      <x:c r="H17" s="13" t="str">
        <x:v>P11</x:v>
      </x:c>
      <x:c r="I17" s="13" t="str">
        <x:v>Form der Modulprüfung</x:v>
      </x:c>
      <x:c r="J17" s="13" t="str">
        <x:v>lmu_computerlinguistik_bsc_stand_2025-09-24.pdf</x:v>
      </x:c>
      <x:c r="K17" s="13" t="str">
        <x:v>P11</x:v>
      </x:c>
      <x:c r="L17" s="13" t="str">
        <x:v>Form der Modulprüfung</x:v>
      </x:c>
      <x:c r="M17" s="13" t="n">
        <x:v>1</x:v>
      </x:c>
      <x:c r="N17" s="13" t="str">
        <x:v>lmu_computerlinguistik_bsc_stand_2025-09-24.pdf::P11::Form der Modulprüfung</x:v>
      </x:c>
      <x:c r="O17" s="13" t="str">
        <x:v>lmu_computerlinguistik_bsc_stand_2025-09-24.pdf::P11::Form der Modulprüfung | lmu_computerlinguistik_bsc_stand_2025-09-24.pdf::P5::Form der Modulprüfung | lmu_computerlinguistik_bsc_stand_2025-09-24.pdf::P7::Form der Modulprüfung</x:v>
      </x:c>
      <x:c r="P17" s="13" t="n">
        <x:v>1</x:v>
      </x:c>
      <x:c r="Q17" s="13" t="n">
        <x:v>1</x:v>
      </x:c>
      <x:c r="R17" s="15" t="n">
        <x:v>0.3333333333333333</x:v>
      </x:c>
      <x:c r="S17" s="15" t="n">
        <x:v>1</x:v>
      </x:c>
      <x:c r="T17" s="15" t="n">
        <x:v>1</x:v>
      </x:c>
      <x:c r="U17" s="15" t="n">
        <x:v>1</x:v>
      </x:c>
      <x:c r="V17" s="15" t="n">
        <x:v>1</x:v>
      </x:c>
      <x:c r="W17" s="13" t="str">
        <x:v>vollständig</x:v>
      </x:c>
    </x:row>
    <x:row r="18" ht="15" hidden="0" customHeight="1">
      <x:c r="A18" s="13" t="str">
        <x:v>Deutsch n=25</x:v>
      </x:c>
      <x:c r="B18" s="13" t="str">
        <x:v>BM25_domain</x:v>
      </x:c>
      <x:c r="C18" s="13" t="str">
        <x:v>q17</x:v>
      </x:c>
      <x:c r="D18" s="13" t="str">
        <x:v>responsible_person</x:v>
      </x:c>
      <x:c r="E18" s="13" t="str">
        <x:v>Wer ist Modulverantwortlicher für P1 Einführung in die Programmierung?</x:v>
      </x:c>
      <x:c r="F18" s="13" t="str">
        <x:v>module+section</x:v>
      </x:c>
      <x:c r="G18" s="13" t="str">
        <x:v>lmu_computerlinguistik_bsc_stand_2025-09-24.pdf</x:v>
      </x:c>
      <x:c r="H18" s="13" t="str">
        <x:v>P1</x:v>
      </x:c>
      <x:c r="I18" s="13" t="str">
        <x:v>Modulverantwortliche/r</x:v>
      </x:c>
      <x:c r="J18" s="13" t="str">
        <x:v>lmu_computerlinguistik_bsc_stand_2025-09-24.pdf</x:v>
      </x:c>
      <x:c r="K18" s="13" t="str">
        <x:v>P1</x:v>
      </x:c>
      <x:c r="L18" s="13" t="str">
        <x:v>Modulverantwortliche/r</x:v>
      </x:c>
      <x:c r="M18" s="13" t="n">
        <x:v>1</x:v>
      </x:c>
      <x:c r="N18" s="13" t="str">
        <x:v>lmu_computerlinguistik_bsc_stand_2025-09-24.pdf::P1::Modulverantwortliche/r</x:v>
      </x:c>
      <x:c r="O18" s="13" t="str">
        <x:v>lmu_computerlinguistik_bsc_stand_2025-09-24.pdf::P1::Modulverantwortliche/r | lmu_computerlinguistik_bsc_stand_2025-09-24.pdf::P2::Modulverantwortliche/r | lmu_computerlinguistik_bsc_stand_2025-09-24.pdf::P1::header</x:v>
      </x:c>
      <x:c r="P18" s="13" t="n">
        <x:v>1</x:v>
      </x:c>
      <x:c r="Q18" s="13" t="n">
        <x:v>1</x:v>
      </x:c>
      <x:c r="R18" s="15" t="n">
        <x:v>0.3333333333333333</x:v>
      </x:c>
      <x:c r="S18" s="15" t="n">
        <x:v>1</x:v>
      </x:c>
      <x:c r="T18" s="15" t="n">
        <x:v>1</x:v>
      </x:c>
      <x:c r="U18" s="15" t="n">
        <x:v>1</x:v>
      </x:c>
      <x:c r="V18" s="15" t="n">
        <x:v>1</x:v>
      </x:c>
      <x:c r="W18" s="13" t="str">
        <x:v>vollständig</x:v>
      </x:c>
    </x:row>
    <x:row r="19" ht="15" hidden="0" customHeight="1">
      <x:c r="A19" s="13" t="str">
        <x:v>Deutsch n=25</x:v>
      </x:c>
      <x:c r="B19" s="13" t="str">
        <x:v>BM25_domain</x:v>
      </x:c>
      <x:c r="C19" s="13" t="str">
        <x:v>q18</x:v>
      </x:c>
      <x:c r="D19" s="13" t="str">
        <x:v>prerequisite</x:v>
      </x:c>
      <x:c r="E19" s="13" t="str">
        <x:v>Welche Teilnahmevoraussetzung hat WP3 Information Retrieval?</x:v>
      </x:c>
      <x:c r="F19" s="13" t="str">
        <x:v>module+section</x:v>
      </x:c>
      <x:c r="G19" s="13" t="str">
        <x:v>lmu_computerlinguistik_bsc_stand_2025-09-24.pdf</x:v>
      </x:c>
      <x:c r="H19" s="13" t="str">
        <x:v>WP3</x:v>
      </x:c>
      <x:c r="I19" s="13" t="str">
        <x:v>Teilnahmevoraussetzung</x:v>
      </x:c>
      <x:c r="J19" s="13" t="str">
        <x:v>lmu_computerlinguistik_bsc_stand_2025-09-24.pdf</x:v>
      </x:c>
      <x:c r="K19" s="13" t="str">
        <x:v>WP3</x:v>
      </x:c>
      <x:c r="L19" s="13" t="str">
        <x:v>Teilnahmevoraussetzung</x:v>
      </x:c>
      <x:c r="M19" s="13" t="n">
        <x:v>1</x:v>
      </x:c>
      <x:c r="N19" s="13" t="str">
        <x:v>lmu_computerlinguistik_bsc_stand_2025-09-24.pdf::WP3::Teilnahmevoraussetzung</x:v>
      </x:c>
      <x:c r="O19" s="13" t="str">
        <x:v>lmu_computerlinguistik_bsc_stand_2025-09-24.pdf::WP3::Teilnahmevoraussetzung | lmu_computerlinguistik_bsc_stand_2025-09-24.pdf::P3::Teilnahmevoraussetzung | lmu_computerlinguistik_bsc_stand_2025-09-24.pdf::P11::Teilnahmevoraussetzung</x:v>
      </x:c>
      <x:c r="P19" s="13" t="n">
        <x:v>1</x:v>
      </x:c>
      <x:c r="Q19" s="13" t="n">
        <x:v>1</x:v>
      </x:c>
      <x:c r="R19" s="15" t="n">
        <x:v>0.3333333333333333</x:v>
      </x:c>
      <x:c r="S19" s="15" t="n">
        <x:v>1</x:v>
      </x:c>
      <x:c r="T19" s="15" t="n">
        <x:v>1</x:v>
      </x:c>
      <x:c r="U19" s="15" t="n">
        <x:v>1</x:v>
      </x:c>
      <x:c r="V19" s="15" t="n">
        <x:v>1</x:v>
      </x:c>
      <x:c r="W19" s="13" t="str">
        <x:v>vollständig</x:v>
      </x:c>
    </x:row>
    <x:row r="20" ht="15" hidden="0" customHeight="1">
      <x:c r="A20" s="13" t="str">
        <x:v>Deutsch n=25</x:v>
      </x:c>
      <x:c r="B20" s="13" t="str">
        <x:v>BM25_domain</x:v>
      </x:c>
      <x:c r="C20" s="13" t="str">
        <x:v>q19</x:v>
      </x:c>
      <x:c r="D20" s="13" t="str">
        <x:v>broad_topic</x:v>
      </x:c>
      <x:c r="E20" s="13" t="str">
        <x:v>Welche Module behandeln maschinelles Lernen?</x:v>
      </x:c>
      <x:c r="F20" s="13" t="str">
        <x:v>module+section</x:v>
      </x:c>
      <x:c r="G20" s="13" t="str">
        <x:v>lmu_computerlinguistik_bsc_stand_2025-09-24.pdf</x:v>
      </x:c>
      <x:c r="H20" s="13" t="str">
        <x:v>P8</x:v>
      </x:c>
      <x:c r="I20" s="13" t="str">
        <x:v>Inhalte</x:v>
      </x:c>
      <x:c r="J20" s="13" t="str">
        <x:v>lmu_computerlinguistik_bsc_stand_2025-09-24.pdf</x:v>
      </x:c>
      <x:c r="K20" s="13" t="str">
        <x:v>P7</x:v>
      </x:c>
      <x:c r="L20" s="13" t="str">
        <x:v>Qualifikationsziele</x:v>
      </x:c>
      <x:c r="M20" s="13"/>
      <x:c r="N20" s="13" t="str">
        <x:v>lmu_computerlinguistik_bsc_stand_2025-09-24.pdf::P8::Inhalte</x:v>
      </x:c>
      <x:c r="O20" s="13" t="str">
        <x:v>lmu_computerlinguistik_bsc_stand_2025-09-24.pdf::P7::Qualifikationsziele | lmu_computerlinguistik_bsc_stand_2025-09-24.pdf::WP4::Inhalte | lmu_computerlinguistik_bsc_stand_2025-09-24.pdf::P13::Englischer Modultitel</x:v>
      </x:c>
      <x:c r="P20" s="13" t="n">
        <x:v>1</x:v>
      </x:c>
      <x:c r="Q20" s="13"/>
      <x:c r="R20" s="15"/>
      <x:c r="S20" s="15"/>
      <x:c r="T20" s="15"/>
      <x:c r="U20" s="15"/>
      <x:c r="V20" s="15"/>
      <x:c r="W20" s="13" t="str">
        <x:v>nicht gefunden</x:v>
      </x:c>
    </x:row>
    <x:row r="21" ht="15" hidden="0" customHeight="1">
      <x:c r="A21" s="13" t="str">
        <x:v>Deutsch n=25</x:v>
      </x:c>
      <x:c r="B21" s="13" t="str">
        <x:v>BM25_domain</x:v>
      </x:c>
      <x:c r="C21" s="13" t="str">
        <x:v>q20</x:v>
      </x:c>
      <x:c r="D21" s="13" t="str">
        <x:v>broad_topic</x:v>
      </x:c>
      <x:c r="E21" s="13" t="str">
        <x:v>In welchem Modul geht es um Syntax natürlicher Sprachen?</x:v>
      </x:c>
      <x:c r="F21" s="13" t="str">
        <x:v>module+section</x:v>
      </x:c>
      <x:c r="G21" s="13" t="str">
        <x:v>lmu_computerlinguistik_bsc_stand_2025-09-24.pdf</x:v>
      </x:c>
      <x:c r="H21" s="13" t="str">
        <x:v>P6</x:v>
      </x:c>
      <x:c r="I21" s="13" t="str">
        <x:v>Inhalte;header</x:v>
      </x:c>
      <x:c r="J21" s="13" t="str">
        <x:v>lmu_computerlinguistik_bsc_stand_2025-09-24.pdf</x:v>
      </x:c>
      <x:c r="K21" s="13" t="str">
        <x:v>P6</x:v>
      </x:c>
      <x:c r="L21" s="13" t="str">
        <x:v>Unterrichtssprache</x:v>
      </x:c>
      <x:c r="M21" s="13"/>
      <x:c r="N21" s="13" t="str">
        <x:v>lmu_computerlinguistik_bsc_stand_2025-09-24.pdf::P6::Inhalte | lmu_computerlinguistik_bsc_stand_2025-09-24.pdf::P6::header</x:v>
      </x:c>
      <x:c r="O21" s="13" t="str">
        <x:v>lmu_computerlinguistik_bsc_stand_2025-09-24.pdf::P6::Unterrichtssprache | lmu_computerlinguistik_bsc_stand_2025-09-24.pdf::P7::Unterrichtssprache | lmu_computerlinguistik_bsc_stand_2025-09-24.pdf::P1::Unterrichtssprache</x:v>
      </x:c>
      <x:c r="P21" s="13" t="n">
        <x:v>2</x:v>
      </x:c>
      <x:c r="Q21" s="13"/>
      <x:c r="R21" s="15"/>
      <x:c r="S21" s="15"/>
      <x:c r="T21" s="15"/>
      <x:c r="U21" s="15"/>
      <x:c r="V21" s="15"/>
      <x:c r="W21" s="13" t="str">
        <x:v>nicht gefunden</x:v>
      </x:c>
    </x:row>
    <x:row r="22" ht="15" hidden="0" customHeight="1">
      <x:c r="A22" s="13" t="str">
        <x:v>Deutsch n=25</x:v>
      </x:c>
      <x:c r="B22" s="13" t="str">
        <x:v>BM25_domain</x:v>
      </x:c>
      <x:c r="C22" s="13" t="str">
        <x:v>q21</x:v>
      </x:c>
      <x:c r="D22" s="13" t="str">
        <x:v>exam</x:v>
      </x:c>
      <x:c r="E22" s="13" t="str">
        <x:v>Welche Prüfungsform hat WP1 Computergestützte Morphologie und Lexikographie?</x:v>
      </x:c>
      <x:c r="F22" s="13" t="str">
        <x:v>module+section</x:v>
      </x:c>
      <x:c r="G22" s="13" t="str">
        <x:v>lmu_computerlinguistik_bsc_stand_2025-09-24.pdf</x:v>
      </x:c>
      <x:c r="H22" s="13" t="str">
        <x:v>WP1</x:v>
      </x:c>
      <x:c r="I22" s="13" t="str">
        <x:v>Form der Modulprüfung</x:v>
      </x:c>
      <x:c r="J22" s="13" t="str">
        <x:v>lmu_computerlinguistik_bsc_stand_2025-09-24.pdf</x:v>
      </x:c>
      <x:c r="K22" s="13" t="str">
        <x:v>WP1</x:v>
      </x:c>
      <x:c r="L22" s="13" t="str">
        <x:v>Form der Modulprüfung</x:v>
      </x:c>
      <x:c r="M22" s="13" t="n">
        <x:v>1</x:v>
      </x:c>
      <x:c r="N22" s="13" t="str">
        <x:v>lmu_computerlinguistik_bsc_stand_2025-09-24.pdf::WP1::Form der Modulprüfung</x:v>
      </x:c>
      <x:c r="O22" s="13" t="str">
        <x:v>lmu_computerlinguistik_bsc_stand_2025-09-24.pdf::WP1::Form der Modulprüfung | lmu_computerlinguistik_bsc_stand_2025-09-24.pdf::P5::Form der Modulprüfung | lmu_computerlinguistik_bsc_stand_2025-09-24.pdf::P7::Form der Modulprüfung</x:v>
      </x:c>
      <x:c r="P22" s="13" t="n">
        <x:v>1</x:v>
      </x:c>
      <x:c r="Q22" s="13" t="n">
        <x:v>1</x:v>
      </x:c>
      <x:c r="R22" s="15" t="n">
        <x:v>0.3333333333333333</x:v>
      </x:c>
      <x:c r="S22" s="15" t="n">
        <x:v>1</x:v>
      </x:c>
      <x:c r="T22" s="15" t="n">
        <x:v>1</x:v>
      </x:c>
      <x:c r="U22" s="15" t="n">
        <x:v>1</x:v>
      </x:c>
      <x:c r="V22" s="15" t="n">
        <x:v>1</x:v>
      </x:c>
      <x:c r="W22" s="13" t="str">
        <x:v>vollständig</x:v>
      </x:c>
    </x:row>
    <x:row r="23" ht="15" hidden="0" customHeight="1">
      <x:c r="A23" s="13" t="str">
        <x:v>Deutsch n=25</x:v>
      </x:c>
      <x:c r="B23" s="13" t="str">
        <x:v>BM25_domain</x:v>
      </x:c>
      <x:c r="C23" s="13" t="str">
        <x:v>q22</x:v>
      </x:c>
      <x:c r="D23" s="13" t="str">
        <x:v>responsible_person</x:v>
      </x:c>
      <x:c r="E23" s="13" t="str">
        <x:v>Wer ist Modulverantwortlicher für WP2 Höhere Programmiersprache?</x:v>
      </x:c>
      <x:c r="F23" s="13" t="str">
        <x:v>module+section</x:v>
      </x:c>
      <x:c r="G23" s="13" t="str">
        <x:v>lmu_computerlinguistik_bsc_stand_2025-09-24.pdf</x:v>
      </x:c>
      <x:c r="H23" s="13" t="str">
        <x:v>WP2</x:v>
      </x:c>
      <x:c r="I23" s="13" t="str">
        <x:v>Modulverantwortliche/r</x:v>
      </x:c>
      <x:c r="J23" s="13" t="str">
        <x:v>lmu_computerlinguistik_bsc_stand_2025-09-24.pdf</x:v>
      </x:c>
      <x:c r="K23" s="13" t="str">
        <x:v>WP2</x:v>
      </x:c>
      <x:c r="L23" s="13" t="str">
        <x:v>Unterrichtssprache</x:v>
      </x:c>
      <x:c r="M23" s="13" t="n">
        <x:v>2</x:v>
      </x:c>
      <x:c r="N23" s="13" t="str">
        <x:v>lmu_computerlinguistik_bsc_stand_2025-09-24.pdf::WP2::Modulverantwortliche/r</x:v>
      </x:c>
      <x:c r="O23" s="13" t="str">
        <x:v>lmu_computerlinguistik_bsc_stand_2025-09-24.pdf::WP2::Unterrichtssprache | lmu_computerlinguistik_bsc_stand_2025-09-24.pdf::WP2::Modulverantwortliche/r | lmu_computerlinguistik_bsc_stand_2025-09-24.pdf::P5::Unterrichtssprache</x:v>
      </x:c>
      <x:c r="P23" s="13" t="n">
        <x:v>1</x:v>
      </x:c>
      <x:c r="Q23" s="13" t="n">
        <x:v>1</x:v>
      </x:c>
      <x:c r="R23" s="15" t="n">
        <x:v>0.3333333333333333</x:v>
      </x:c>
      <x:c r="S23" s="15" t="n">
        <x:v>1</x:v>
      </x:c>
      <x:c r="T23" s="15" t="n">
        <x:v>0.5</x:v>
      </x:c>
      <x:c r="U23" s="15" t="n">
        <x:v>0.6309297535714575</x:v>
      </x:c>
      <x:c r="V23" s="15"/>
      <x:c r="W23" s="13" t="str">
        <x:v>vollständig</x:v>
      </x:c>
    </x:row>
    <x:row r="24" ht="15" hidden="0" customHeight="1">
      <x:c r="A24" s="13" t="str">
        <x:v>Deutsch n=25</x:v>
      </x:c>
      <x:c r="B24" s="13" t="str">
        <x:v>BM25_domain</x:v>
      </x:c>
      <x:c r="C24" s="13" t="str">
        <x:v>q23</x:v>
      </x:c>
      <x:c r="D24" s="13" t="str">
        <x:v>numerical</x:v>
      </x:c>
      <x:c r="E24" s="13" t="str">
        <x:v>Wie viele ECTS hat P4 Mathematische Grundlagen der Computerlinguistik?</x:v>
      </x:c>
      <x:c r="F24" s="13" t="str">
        <x:v>module+section</x:v>
      </x:c>
      <x:c r="G24" s="13" t="str">
        <x:v>lmu_computerlinguistik_bsc_stand_2025-09-24.pdf</x:v>
      </x:c>
      <x:c r="H24" s="13" t="str">
        <x:v>P4</x:v>
      </x:c>
      <x:c r="I24" s="13" t="str">
        <x:v>Zugeordnete Modulteile</x:v>
      </x:c>
      <x:c r="J24" s="13" t="str">
        <x:v>lmu_computerlinguistik_bsc_stand_2025-09-24.pdf</x:v>
      </x:c>
      <x:c r="K24" s="13" t="str">
        <x:v>P4</x:v>
      </x:c>
      <x:c r="L24" s="13" t="str">
        <x:v>Zugeordnete Modulteile</x:v>
      </x:c>
      <x:c r="M24" s="13" t="n">
        <x:v>1</x:v>
      </x:c>
      <x:c r="N24" s="13" t="str">
        <x:v>lmu_computerlinguistik_bsc_stand_2025-09-24.pdf::P4::Zugeordnete Modulteile</x:v>
      </x:c>
      <x:c r="O24" s="13" t="str">
        <x:v>lmu_computerlinguistik_bsc_stand_2025-09-24.pdf::P4::Zugeordnete Modulteile | lmu_computerlinguistik_bsc_stand_2025-09-24.pdf::P13::Zugeordnete Modulteile | lmu_computerlinguistik_bsc_stand_2025-09-24.pdf::WP4::Zugeordnete Modulteile</x:v>
      </x:c>
      <x:c r="P24" s="13" t="n">
        <x:v>1</x:v>
      </x:c>
      <x:c r="Q24" s="13" t="n">
        <x:v>1</x:v>
      </x:c>
      <x:c r="R24" s="15" t="n">
        <x:v>0.3333333333333333</x:v>
      </x:c>
      <x:c r="S24" s="15" t="n">
        <x:v>1</x:v>
      </x:c>
      <x:c r="T24" s="15" t="n">
        <x:v>1</x:v>
      </x:c>
      <x:c r="U24" s="15" t="n">
        <x:v>1</x:v>
      </x:c>
      <x:c r="V24" s="15" t="n">
        <x:v>1</x:v>
      </x:c>
      <x:c r="W24" s="13" t="str">
        <x:v>vollständig</x:v>
      </x:c>
    </x:row>
    <x:row r="25" ht="15" hidden="0" customHeight="1">
      <x:c r="A25" s="13" t="str">
        <x:v>Deutsch n=25</x:v>
      </x:c>
      <x:c r="B25" s="13" t="str">
        <x:v>BM25_domain</x:v>
      </x:c>
      <x:c r="C25" s="13" t="str">
        <x:v>q24</x:v>
      </x:c>
      <x:c r="D25" s="13" t="str">
        <x:v>content</x:v>
      </x:c>
      <x:c r="E25" s="13" t="str">
        <x:v>Welche Inhalte behandelt P5 Symbolische Programmiersprache?</x:v>
      </x:c>
      <x:c r="F25" s="13" t="str">
        <x:v>module+section</x:v>
      </x:c>
      <x:c r="G25" s="13" t="str">
        <x:v>lmu_computerlinguistik_bsc_stand_2025-09-24.pdf</x:v>
      </x:c>
      <x:c r="H25" s="13" t="str">
        <x:v>P5</x:v>
      </x:c>
      <x:c r="I25" s="13" t="str">
        <x:v>Inhalte</x:v>
      </x:c>
      <x:c r="J25" s="13" t="str">
        <x:v>lmu_computerlinguistik_bsc_stand_2025-09-24.pdf</x:v>
      </x:c>
      <x:c r="K25" s="13" t="str">
        <x:v>P5</x:v>
      </x:c>
      <x:c r="L25" s="13" t="str">
        <x:v>Unterrichtssprache</x:v>
      </x:c>
      <x:c r="M25" s="13"/>
      <x:c r="N25" s="13" t="str">
        <x:v>lmu_computerlinguistik_bsc_stand_2025-09-24.pdf::P5::Inhalte</x:v>
      </x:c>
      <x:c r="O25" s="13" t="str">
        <x:v>lmu_computerlinguistik_bsc_stand_2025-09-24.pdf::P5::Unterrichtssprache | lmu_computerlinguistik_bsc_stand_2025-09-24.pdf::P3::Inhalte | lmu_computerlinguistik_bsc_stand_2025-09-24.pdf::P12::Inhalte</x:v>
      </x:c>
      <x:c r="P25" s="13" t="n">
        <x:v>1</x:v>
      </x:c>
      <x:c r="Q25" s="13"/>
      <x:c r="R25" s="15"/>
      <x:c r="S25" s="15"/>
      <x:c r="T25" s="15"/>
      <x:c r="U25" s="15"/>
      <x:c r="V25" s="15"/>
      <x:c r="W25" s="13" t="str">
        <x:v>nicht gefunden</x:v>
      </x:c>
    </x:row>
    <x:row r="26" ht="15" hidden="0" customHeight="1">
      <x:c r="A26" s="13" t="str">
        <x:v>Deutsch n=25</x:v>
      </x:c>
      <x:c r="B26" s="13" t="str">
        <x:v>BM25_domain</x:v>
      </x:c>
      <x:c r="C26" s="13" t="str">
        <x:v>q25</x:v>
      </x:c>
      <x:c r="D26" s="13" t="str">
        <x:v>language</x:v>
      </x:c>
      <x:c r="E26" s="13" t="str">
        <x:v>Welche Unterrichtssprache hat WP3 Information Retrieval?</x:v>
      </x:c>
      <x:c r="F26" s="13" t="str">
        <x:v>module+section</x:v>
      </x:c>
      <x:c r="G26" s="13" t="str">
        <x:v>lmu_computerlinguistik_bsc_stand_2025-09-24.pdf</x:v>
      </x:c>
      <x:c r="H26" s="13" t="str">
        <x:v>WP3</x:v>
      </x:c>
      <x:c r="I26" s="13" t="str">
        <x:v>Unterrichtssprache</x:v>
      </x:c>
      <x:c r="J26" s="13" t="str">
        <x:v>lmu_computerlinguistik_bsc_stand_2025-09-24.pdf</x:v>
      </x:c>
      <x:c r="K26" s="13" t="str">
        <x:v>WP3</x:v>
      </x:c>
      <x:c r="L26" s="13" t="str">
        <x:v>Unterrichtssprache</x:v>
      </x:c>
      <x:c r="M26" s="13" t="n">
        <x:v>1</x:v>
      </x:c>
      <x:c r="N26" s="13" t="str">
        <x:v>lmu_computerlinguistik_bsc_stand_2025-09-24.pdf::WP3::Unterrichtssprache</x:v>
      </x:c>
      <x:c r="O26" s="13" t="str">
        <x:v>lmu_computerlinguistik_bsc_stand_2025-09-24.pdf::WP3::Unterrichtssprache | lmu_computerlinguistik_bsc_stand_2025-09-24.pdf::P11::Unterrichtssprache | lmu_computerlinguistik_bsc_stand_2025-09-24.pdf::P13::Unterrichtssprache</x:v>
      </x:c>
      <x:c r="P26" s="13" t="n">
        <x:v>1</x:v>
      </x:c>
      <x:c r="Q26" s="13" t="n">
        <x:v>1</x:v>
      </x:c>
      <x:c r="R26" s="15" t="n">
        <x:v>0.3333333333333333</x:v>
      </x:c>
      <x:c r="S26" s="15" t="n">
        <x:v>1</x:v>
      </x:c>
      <x:c r="T26" s="15" t="n">
        <x:v>1</x:v>
      </x:c>
      <x:c r="U26" s="15" t="n">
        <x:v>1</x:v>
      </x:c>
      <x:c r="V26" s="15" t="n">
        <x:v>1</x:v>
      </x:c>
      <x:c r="W26" s="13" t="str">
        <x:v>vollständig</x:v>
      </x:c>
    </x:row>
    <x:row r="27" ht="15" hidden="0" customHeight="1">
      <x:c r="A27" s="13" t="str">
        <x:v>Deutsch n=25</x:v>
      </x:c>
      <x:c r="B27" s="13" t="str">
        <x:v>Dense</x:v>
      </x:c>
      <x:c r="C27" s="13" t="str">
        <x:v>q01</x:v>
      </x:c>
      <x:c r="D27" s="13" t="str">
        <x:v>numerical</x:v>
      </x:c>
      <x:c r="E27" s="13" t="str">
        <x:v>Wie viele ECTS hat WP3 Information Retrieval?</x:v>
      </x:c>
      <x:c r="F27" s="13" t="str">
        <x:v>module+section</x:v>
      </x:c>
      <x:c r="G27" s="13" t="str">
        <x:v>lmu_computerlinguistik_bsc_stand_2025-09-24.pdf</x:v>
      </x:c>
      <x:c r="H27" s="13" t="str">
        <x:v>WP3</x:v>
      </x:c>
      <x:c r="I27" s="13" t="str">
        <x:v>Zugeordnete Modulteile</x:v>
      </x:c>
      <x:c r="J27" s="13" t="str">
        <x:v>lmu_computerlinguistik_bsc_stand_2025-09-24.pdf</x:v>
      </x:c>
      <x:c r="K27" s="13" t="str">
        <x:v>WP3</x:v>
      </x:c>
      <x:c r="L27" s="13" t="str">
        <x:v>Voraussetzung für die Vergabe</x:v>
      </x:c>
      <x:c r="M27" s="13"/>
      <x:c r="N27" s="13" t="str">
        <x:v>lmu_computerlinguistik_bsc_stand_2025-09-24.pdf::WP3::Zugeordnete Modulteile</x:v>
      </x:c>
      <x:c r="O27" s="13" t="str">
        <x:v>lmu_computerlinguistik_bsc_stand_2025-09-24.pdf::WP3::Voraussetzung für die Vergabe | lmu_computerlinguistik_bsc_stand_2025-09-24.pdf::WP3::Art der Bewertung | lmu_computerlinguistik_bsc_stand_2025-09-24.pdf::WP3::Teilnahmevoraussetzung</x:v>
      </x:c>
      <x:c r="P27" s="13" t="n">
        <x:v>1</x:v>
      </x:c>
      <x:c r="Q27" s="13"/>
      <x:c r="R27" s="15"/>
      <x:c r="S27" s="15"/>
      <x:c r="T27" s="15"/>
      <x:c r="U27" s="15"/>
      <x:c r="V27" s="15"/>
      <x:c r="W27" s="13" t="str">
        <x:v>nicht gefunden</x:v>
      </x:c>
    </x:row>
    <x:row r="28" ht="15" hidden="0" customHeight="1">
      <x:c r="A28" s="13" t="str">
        <x:v>Deutsch n=25</x:v>
      </x:c>
      <x:c r="B28" s="13" t="str">
        <x:v>Dense</x:v>
      </x:c>
      <x:c r="C28" s="13" t="str">
        <x:v>q02</x:v>
      </x:c>
      <x:c r="D28" s="13" t="str">
        <x:v>exam</x:v>
      </x:c>
      <x:c r="E28" s="13" t="str">
        <x:v>Welche Prüfungsform hat WP3 Information Retrieval?</x:v>
      </x:c>
      <x:c r="F28" s="13" t="str">
        <x:v>module+section</x:v>
      </x:c>
      <x:c r="G28" s="13" t="str">
        <x:v>lmu_computerlinguistik_bsc_stand_2025-09-24.pdf</x:v>
      </x:c>
      <x:c r="H28" s="13" t="str">
        <x:v>WP3</x:v>
      </x:c>
      <x:c r="I28" s="13" t="str">
        <x:v>Form der Modulprüfung</x:v>
      </x:c>
      <x:c r="J28" s="13" t="str">
        <x:v>lmu_computerlinguistik_bsc_stand_2025-09-24.pdf</x:v>
      </x:c>
      <x:c r="K28" s="13" t="str">
        <x:v>WP3</x:v>
      </x:c>
      <x:c r="L28" s="13" t="str">
        <x:v>Art der Bewertung</x:v>
      </x:c>
      <x:c r="M28" s="13"/>
      <x:c r="N28" s="13" t="str">
        <x:v>lmu_computerlinguistik_bsc_stand_2025-09-24.pdf::WP3::Form der Modulprüfung</x:v>
      </x:c>
      <x:c r="O28" s="13" t="str">
        <x:v>lmu_computerlinguistik_bsc_stand_2025-09-24.pdf::WP3::Art der Bewertung | lmu_computerlinguistik_bsc_stand_2025-09-24.pdf::WP3::Teilnahmevoraussetzung | lmu_computerlinguistik_bsc_stand_2025-09-24.pdf::WP3::Inhalte</x:v>
      </x:c>
      <x:c r="P28" s="13" t="n">
        <x:v>1</x:v>
      </x:c>
      <x:c r="Q28" s="13"/>
      <x:c r="R28" s="15"/>
      <x:c r="S28" s="15"/>
      <x:c r="T28" s="15"/>
      <x:c r="U28" s="15"/>
      <x:c r="V28" s="15"/>
      <x:c r="W28" s="13" t="str">
        <x:v>nicht gefunden</x:v>
      </x:c>
    </x:row>
    <x:row r="29" ht="15" hidden="0" customHeight="1">
      <x:c r="A29" s="13" t="str">
        <x:v>Deutsch n=25</x:v>
      </x:c>
      <x:c r="B29" s="13" t="str">
        <x:v>Dense</x:v>
      </x:c>
      <x:c r="C29" s="13" t="str">
        <x:v>q03</x:v>
      </x:c>
      <x:c r="D29" s="13" t="str">
        <x:v>responsible_person</x:v>
      </x:c>
      <x:c r="E29" s="13" t="str">
        <x:v>Wer ist modulverantwortlich für P10 Statistische Methoden in der Sprachverarbeitung?</x:v>
      </x:c>
      <x:c r="F29" s="13" t="str">
        <x:v>module+section</x:v>
      </x:c>
      <x:c r="G29" s="13" t="str">
        <x:v>lmu_computerlinguistik_bsc_stand_2025-09-24.pdf</x:v>
      </x:c>
      <x:c r="H29" s="13" t="str">
        <x:v>P10</x:v>
      </x:c>
      <x:c r="I29" s="13" t="str">
        <x:v>Modulverantwortliche/r</x:v>
      </x:c>
      <x:c r="J29" s="13" t="str">
        <x:v>lmu_computerlinguistik_bsc_stand_2025-09-24.pdf</x:v>
      </x:c>
      <x:c r="K29" s="13" t="str">
        <x:v>P10</x:v>
      </x:c>
      <x:c r="L29" s="13" t="str">
        <x:v>header</x:v>
      </x:c>
      <x:c r="M29" s="13"/>
      <x:c r="N29" s="13" t="str">
        <x:v>lmu_computerlinguistik_bsc_stand_2025-09-24.pdf::P10::Modulverantwortliche/r</x:v>
      </x:c>
      <x:c r="O29" s="13" t="str">
        <x:v>lmu_computerlinguistik_bsc_stand_2025-09-24.pdf::P10::header | lmu_computerlinguistik_bsc_stand_2025-09-24.pdf::P10::Englischer Modultitel | lmu_computerlinguistik_bsc_stand_2025-09-24.pdf::P10::Verwendbarkeit des Moduls</x:v>
      </x:c>
      <x:c r="P29" s="13" t="n">
        <x:v>1</x:v>
      </x:c>
      <x:c r="Q29" s="13"/>
      <x:c r="R29" s="15"/>
      <x:c r="S29" s="15"/>
      <x:c r="T29" s="15"/>
      <x:c r="U29" s="15"/>
      <x:c r="V29" s="15"/>
      <x:c r="W29" s="13" t="str">
        <x:v>nicht gefunden</x:v>
      </x:c>
    </x:row>
    <x:row r="30" ht="15" hidden="0" customHeight="1">
      <x:c r="A30" s="13" t="str">
        <x:v>Deutsch n=25</x:v>
      </x:c>
      <x:c r="B30" s="13" t="str">
        <x:v>Dense</x:v>
      </x:c>
      <x:c r="C30" s="13" t="str">
        <x:v>q04</x:v>
      </x:c>
      <x:c r="D30" s="13" t="str">
        <x:v>semester</x:v>
      </x:c>
      <x:c r="E30" s="13" t="str">
        <x:v>In welchem Semester wird P8 empfohlen?</x:v>
      </x:c>
      <x:c r="F30" s="13" t="str">
        <x:v>module+section</x:v>
      </x:c>
      <x:c r="G30" s="13" t="str">
        <x:v>lmu_computerlinguistik_bsc_stand_2025-09-24.pdf</x:v>
      </x:c>
      <x:c r="H30" s="13" t="str">
        <x:v>P8</x:v>
      </x:c>
      <x:c r="I30" s="13" t="str">
        <x:v>Zeitpunkt im Studienverlauf</x:v>
      </x:c>
      <x:c r="J30" s="13" t="str">
        <x:v>lmu_computerlinguistik_bsc_stand_2025-09-24.pdf</x:v>
      </x:c>
      <x:c r="K30" s="13" t="str">
        <x:v>P8</x:v>
      </x:c>
      <x:c r="L30" s="13" t="str">
        <x:v>Verwendbarkeit des Moduls</x:v>
      </x:c>
      <x:c r="M30" s="13" t="n">
        <x:v>2</x:v>
      </x:c>
      <x:c r="N30" s="13" t="str">
        <x:v>lmu_computerlinguistik_bsc_stand_2025-09-24.pdf::P8::Zeitpunkt im Studienverlauf</x:v>
      </x:c>
      <x:c r="O30" s="13" t="str">
        <x:v>lmu_computerlinguistik_bsc_stand_2025-09-24.pdf::P8::Verwendbarkeit des Moduls | lmu_computerlinguistik_bsc_stand_2025-09-24.pdf::P8::Zeitpunkt im Studienverlauf | lmu_computerlinguistik_bsc_stand_2025-09-24.pdf::P8::Qualifikationsziele</x:v>
      </x:c>
      <x:c r="P30" s="13" t="n">
        <x:v>1</x:v>
      </x:c>
      <x:c r="Q30" s="13" t="n">
        <x:v>1</x:v>
      </x:c>
      <x:c r="R30" s="15" t="n">
        <x:v>0.3333333333333333</x:v>
      </x:c>
      <x:c r="S30" s="15" t="n">
        <x:v>1</x:v>
      </x:c>
      <x:c r="T30" s="15" t="n">
        <x:v>0.5</x:v>
      </x:c>
      <x:c r="U30" s="15" t="n">
        <x:v>0.6309297535714575</x:v>
      </x:c>
      <x:c r="V30" s="15"/>
      <x:c r="W30" s="13" t="str">
        <x:v>vollständig</x:v>
      </x:c>
    </x:row>
    <x:row r="31" ht="15" hidden="0" customHeight="1">
      <x:c r="A31" s="13" t="str">
        <x:v>Deutsch n=25</x:v>
      </x:c>
      <x:c r="B31" s="13" t="str">
        <x:v>Dense</x:v>
      </x:c>
      <x:c r="C31" s="13" t="str">
        <x:v>q05</x:v>
      </x:c>
      <x:c r="D31" s="13" t="str">
        <x:v>content</x:v>
      </x:c>
      <x:c r="E31" s="13" t="str">
        <x:v>Welche Inhalte behandelt P11 Informationsextraktion?</x:v>
      </x:c>
      <x:c r="F31" s="13" t="str">
        <x:v>module+section</x:v>
      </x:c>
      <x:c r="G31" s="13" t="str">
        <x:v>lmu_computerlinguistik_bsc_stand_2025-09-24.pdf</x:v>
      </x:c>
      <x:c r="H31" s="13" t="str">
        <x:v>P11</x:v>
      </x:c>
      <x:c r="I31" s="13" t="str">
        <x:v>Inhalte</x:v>
      </x:c>
      <x:c r="J31" s="13" t="str">
        <x:v>lmu_computerlinguistik_bsc_stand_2025-09-24.pdf</x:v>
      </x:c>
      <x:c r="K31" s="13" t="str">
        <x:v>P11</x:v>
      </x:c>
      <x:c r="L31" s="13" t="str">
        <x:v>Englischer Modultitel</x:v>
      </x:c>
      <x:c r="M31" s="13"/>
      <x:c r="N31" s="13" t="str">
        <x:v>lmu_computerlinguistik_bsc_stand_2025-09-24.pdf::P11::Inhalte</x:v>
      </x:c>
      <x:c r="O31" s="13" t="str">
        <x:v>lmu_computerlinguistik_bsc_stand_2025-09-24.pdf::P11::Englischer Modultitel | lmu_computerlinguistik_bsc_stand_2025-09-24.pdf::P11::header | lmu_computerlinguistik_bsc_stand_2025-09-24.pdf::P11::Teilnahmevoraussetzung</x:v>
      </x:c>
      <x:c r="P31" s="13" t="n">
        <x:v>1</x:v>
      </x:c>
      <x:c r="Q31" s="13"/>
      <x:c r="R31" s="15"/>
      <x:c r="S31" s="15"/>
      <x:c r="T31" s="15"/>
      <x:c r="U31" s="15"/>
      <x:c r="V31" s="15"/>
      <x:c r="W31" s="13" t="str">
        <x:v>nicht gefunden</x:v>
      </x:c>
    </x:row>
    <x:row r="32" ht="15" hidden="0" customHeight="1">
      <x:c r="A32" s="13" t="str">
        <x:v>Deutsch n=25</x:v>
      </x:c>
      <x:c r="B32" s="13" t="str">
        <x:v>Dense</x:v>
      </x:c>
      <x:c r="C32" s="13" t="str">
        <x:v>q06</x:v>
      </x:c>
      <x:c r="D32" s="13" t="str">
        <x:v>prerequisite</x:v>
      </x:c>
      <x:c r="E32" s="13" t="str">
        <x:v>Welche Teilnahmevoraussetzungen hat P4 Mathematische Grundlagen der Computerlinguistik?</x:v>
      </x:c>
      <x:c r="F32" s="13" t="str">
        <x:v>module+section</x:v>
      </x:c>
      <x:c r="G32" s="13" t="str">
        <x:v>lmu_computerlinguistik_bsc_stand_2025-09-24.pdf</x:v>
      </x:c>
      <x:c r="H32" s="13" t="str">
        <x:v>P4</x:v>
      </x:c>
      <x:c r="I32" s="13" t="str">
        <x:v>Teilnahmevoraussetzung</x:v>
      </x:c>
      <x:c r="J32" s="13" t="str">
        <x:v>lmu_computerlinguistik_bsc_stand_2025-09-24.pdf</x:v>
      </x:c>
      <x:c r="K32" s="13" t="str">
        <x:v>P4</x:v>
      </x:c>
      <x:c r="L32" s="13" t="str">
        <x:v>Teilnahmevoraussetzung</x:v>
      </x:c>
      <x:c r="M32" s="13" t="n">
        <x:v>1</x:v>
      </x:c>
      <x:c r="N32" s="13" t="str">
        <x:v>lmu_computerlinguistik_bsc_stand_2025-09-24.pdf::P4::Teilnahmevoraussetzung</x:v>
      </x:c>
      <x:c r="O32" s="13" t="str">
        <x:v>lmu_computerlinguistik_bsc_stand_2025-09-24.pdf::P4::Teilnahmevoraussetzung | lmu_computerlinguistik_bsc_stand_2025-09-24.pdf::P4::Inhalte | lmu_computerlinguistik_bsc_stand_2025-09-24.pdf::P4::header</x:v>
      </x:c>
      <x:c r="P32" s="13" t="n">
        <x:v>1</x:v>
      </x:c>
      <x:c r="Q32" s="13" t="n">
        <x:v>1</x:v>
      </x:c>
      <x:c r="R32" s="15" t="n">
        <x:v>0.3333333333333333</x:v>
      </x:c>
      <x:c r="S32" s="15" t="n">
        <x:v>1</x:v>
      </x:c>
      <x:c r="T32" s="15" t="n">
        <x:v>1</x:v>
      </x:c>
      <x:c r="U32" s="15" t="n">
        <x:v>1</x:v>
      </x:c>
      <x:c r="V32" s="15" t="n">
        <x:v>1</x:v>
      </x:c>
      <x:c r="W32" s="13" t="str">
        <x:v>vollständig</x:v>
      </x:c>
    </x:row>
    <x:row r="33" ht="15" hidden="0" customHeight="1">
      <x:c r="A33" s="13" t="str">
        <x:v>Deutsch n=25</x:v>
      </x:c>
      <x:c r="B33" s="13" t="str">
        <x:v>Dense</x:v>
      </x:c>
      <x:c r="C33" s="13" t="str">
        <x:v>q07</x:v>
      </x:c>
      <x:c r="D33" s="13" t="str">
        <x:v>broad_topic</x:v>
      </x:c>
      <x:c r="E33" s="13" t="str">
        <x:v>Welche Module behandeln Informationssuche und Suchmaschinen?</x:v>
      </x:c>
      <x:c r="F33" s="13" t="str">
        <x:v>module+section</x:v>
      </x:c>
      <x:c r="G33" s="13" t="str">
        <x:v>lmu_computerlinguistik_bsc_stand_2025-09-24.pdf</x:v>
      </x:c>
      <x:c r="H33" s="13" t="str">
        <x:v>WP3</x:v>
      </x:c>
      <x:c r="I33" s="13" t="str">
        <x:v>Inhalte</x:v>
      </x:c>
      <x:c r="J33" s="13" t="str">
        <x:v>lmu_computerlinguistik_bsc_stand_2025-09-24.pdf</x:v>
      </x:c>
      <x:c r="K33" s="13" t="str">
        <x:v>WP3</x:v>
      </x:c>
      <x:c r="L33" s="13" t="str">
        <x:v>Inhalte</x:v>
      </x:c>
      <x:c r="M33" s="13" t="n">
        <x:v>1</x:v>
      </x:c>
      <x:c r="N33" s="13" t="str">
        <x:v>lmu_computerlinguistik_bsc_stand_2025-09-24.pdf::WP3::Inhalte</x:v>
      </x:c>
      <x:c r="O33" s="13" t="str">
        <x:v>lmu_computerlinguistik_bsc_stand_2025-09-24.pdf::WP3::Inhalte | lmu_computerlinguistik_bsc_stand_2025-09-24.pdf::WP3::Qualifikationsziele | lmu_computerlinguistik_bsc_stand_2025-09-24.pdf::P11::Inhalte</x:v>
      </x:c>
      <x:c r="P33" s="13" t="n">
        <x:v>1</x:v>
      </x:c>
      <x:c r="Q33" s="13" t="n">
        <x:v>1</x:v>
      </x:c>
      <x:c r="R33" s="15" t="n">
        <x:v>0.3333333333333333</x:v>
      </x:c>
      <x:c r="S33" s="15" t="n">
        <x:v>1</x:v>
      </x:c>
      <x:c r="T33" s="15" t="n">
        <x:v>1</x:v>
      </x:c>
      <x:c r="U33" s="15" t="n">
        <x:v>1</x:v>
      </x:c>
      <x:c r="V33" s="15" t="n">
        <x:v>1</x:v>
      </x:c>
      <x:c r="W33" s="13" t="str">
        <x:v>vollständig</x:v>
      </x:c>
    </x:row>
    <x:row r="34" ht="15" hidden="0" customHeight="1">
      <x:c r="A34" s="13" t="str">
        <x:v>Deutsch n=25</x:v>
      </x:c>
      <x:c r="B34" s="13" t="str">
        <x:v>Dense</x:v>
      </x:c>
      <x:c r="C34" s="13" t="str">
        <x:v>q08</x:v>
      </x:c>
      <x:c r="D34" s="13" t="str">
        <x:v>broad_topic</x:v>
      </x:c>
      <x:c r="E34" s="13" t="str">
        <x:v>Welches Modul behandelt reguläre Sprachen und endliche Automaten?</x:v>
      </x:c>
      <x:c r="F34" s="13" t="str">
        <x:v>module+section</x:v>
      </x:c>
      <x:c r="G34" s="13" t="str">
        <x:v>lmu_computerlinguistik_bsc_stand_2025-09-24.pdf</x:v>
      </x:c>
      <x:c r="H34" s="13" t="str">
        <x:v>P7</x:v>
      </x:c>
      <x:c r="I34" s="13" t="str">
        <x:v>Inhalte</x:v>
      </x:c>
      <x:c r="J34" s="13" t="str">
        <x:v>lmu_computerlinguistik_bsc_stand_2025-09-24.pdf</x:v>
      </x:c>
      <x:c r="K34" s="13" t="str">
        <x:v>P7</x:v>
      </x:c>
      <x:c r="L34" s="13" t="str">
        <x:v>Inhalte</x:v>
      </x:c>
      <x:c r="M34" s="13" t="n">
        <x:v>1</x:v>
      </x:c>
      <x:c r="N34" s="13" t="str">
        <x:v>lmu_computerlinguistik_bsc_stand_2025-09-24.pdf::P7::Inhalte</x:v>
      </x:c>
      <x:c r="O34" s="13" t="str">
        <x:v>lmu_computerlinguistik_bsc_stand_2025-09-24.pdf::P7::Inhalte | lmu_computerlinguistik_bsc_stand_2025-09-24.pdf::P6::Art des Moduls | lmu_computerlinguistik_bsc_stand_2025-09-24.pdf::P6::Verwendbarkeit des Moduls</x:v>
      </x:c>
      <x:c r="P34" s="13" t="n">
        <x:v>1</x:v>
      </x:c>
      <x:c r="Q34" s="13" t="n">
        <x:v>1</x:v>
      </x:c>
      <x:c r="R34" s="15" t="n">
        <x:v>0.3333333333333333</x:v>
      </x:c>
      <x:c r="S34" s="15" t="n">
        <x:v>1</x:v>
      </x:c>
      <x:c r="T34" s="15" t="n">
        <x:v>1</x:v>
      </x:c>
      <x:c r="U34" s="15" t="n">
        <x:v>1</x:v>
      </x:c>
      <x:c r="V34" s="15" t="n">
        <x:v>1</x:v>
      </x:c>
      <x:c r="W34" s="13" t="str">
        <x:v>vollständig</x:v>
      </x:c>
    </x:row>
    <x:row r="35" ht="15" hidden="0" customHeight="1">
      <x:c r="A35" s="13" t="str">
        <x:v>Deutsch n=25</x:v>
      </x:c>
      <x:c r="B35" s="13" t="str">
        <x:v>Dense</x:v>
      </x:c>
      <x:c r="C35" s="13" t="str">
        <x:v>q09</x:v>
      </x:c>
      <x:c r="D35" s="13" t="str">
        <x:v>language</x:v>
      </x:c>
      <x:c r="E35" s="13" t="str">
        <x:v>Welche Unterrichtssprache hat P1 Einführung in die Programmierung?</x:v>
      </x:c>
      <x:c r="F35" s="13" t="str">
        <x:v>module+section</x:v>
      </x:c>
      <x:c r="G35" s="13" t="str">
        <x:v>lmu_computerlinguistik_bsc_stand_2025-09-24.pdf</x:v>
      </x:c>
      <x:c r="H35" s="13" t="str">
        <x:v>P1</x:v>
      </x:c>
      <x:c r="I35" s="13" t="str">
        <x:v>Unterrichtssprache</x:v>
      </x:c>
      <x:c r="J35" s="13" t="str">
        <x:v>lmu_computerlinguistik_bsc_stand_2025-09-24.pdf</x:v>
      </x:c>
      <x:c r="K35" s="13" t="str">
        <x:v>P1</x:v>
      </x:c>
      <x:c r="L35" s="13" t="str">
        <x:v>Unterrichtssprache</x:v>
      </x:c>
      <x:c r="M35" s="13" t="n">
        <x:v>1</x:v>
      </x:c>
      <x:c r="N35" s="13" t="str">
        <x:v>lmu_computerlinguistik_bsc_stand_2025-09-24.pdf::P1::Unterrichtssprache</x:v>
      </x:c>
      <x:c r="O35" s="13" t="str">
        <x:v>lmu_computerlinguistik_bsc_stand_2025-09-24.pdf::P1::Unterrichtssprache | lmu_computerlinguistik_bsc_stand_2025-09-24.pdf::P1::Englischer Modultitel | lmu_computerlinguistik_bsc_stand_2025-09-24.pdf::P7::Inhalte</x:v>
      </x:c>
      <x:c r="P35" s="13" t="n">
        <x:v>1</x:v>
      </x:c>
      <x:c r="Q35" s="13" t="n">
        <x:v>1</x:v>
      </x:c>
      <x:c r="R35" s="15" t="n">
        <x:v>0.3333333333333333</x:v>
      </x:c>
      <x:c r="S35" s="15" t="n">
        <x:v>1</x:v>
      </x:c>
      <x:c r="T35" s="15" t="n">
        <x:v>1</x:v>
      </x:c>
      <x:c r="U35" s="15" t="n">
        <x:v>1</x:v>
      </x:c>
      <x:c r="V35" s="15" t="n">
        <x:v>1</x:v>
      </x:c>
      <x:c r="W35" s="13" t="str">
        <x:v>vollständig</x:v>
      </x:c>
    </x:row>
    <x:row r="36" ht="15" hidden="0" customHeight="1">
      <x:c r="A36" s="13" t="str">
        <x:v>Deutsch n=25</x:v>
      </x:c>
      <x:c r="B36" s="13" t="str">
        <x:v>Dense</x:v>
      </x:c>
      <x:c r="C36" s="13" t="str">
        <x:v>q10</x:v>
      </x:c>
      <x:c r="D36" s="13" t="str">
        <x:v>broad_topic</x:v>
      </x:c>
      <x:c r="E36" s="13" t="str">
        <x:v>Welche Wahlpflichtmodule gibt es zu Morphologie und Lexikographie?</x:v>
      </x:c>
      <x:c r="F36" s="13" t="str">
        <x:v>module+section</x:v>
      </x:c>
      <x:c r="G36" s="13" t="str">
        <x:v>lmu_computerlinguistik_bsc_stand_2025-09-24.pdf</x:v>
      </x:c>
      <x:c r="H36" s="13" t="str">
        <x:v>WP1</x:v>
      </x:c>
      <x:c r="I36" s="13" t="str">
        <x:v>Inhalte;header</x:v>
      </x:c>
      <x:c r="J36" s="13" t="str">
        <x:v>lmu_computerlinguistik_bsc_stand_2025-09-24.pdf</x:v>
      </x:c>
      <x:c r="K36" s="13" t="str">
        <x:v>WP1</x:v>
      </x:c>
      <x:c r="L36" s="13" t="str">
        <x:v>Art des Moduls</x:v>
      </x:c>
      <x:c r="M36" s="13"/>
      <x:c r="N36" s="13" t="str">
        <x:v>lmu_computerlinguistik_bsc_stand_2025-09-24.pdf::WP1::Inhalte | lmu_computerlinguistik_bsc_stand_2025-09-24.pdf::WP1::header</x:v>
      </x:c>
      <x:c r="O36" s="13" t="str">
        <x:v>lmu_computerlinguistik_bsc_stand_2025-09-24.pdf::WP1::Art des Moduls | lmu_computerlinguistik_bsc_stand_2025-09-24.pdf::WP1::Wahlpflichtregelungen | lmu_computerlinguistik_bsc_stand_2025-09-24.pdf::P7::Wahlpflichtregelungen</x:v>
      </x:c>
      <x:c r="P36" s="13" t="n">
        <x:v>2</x:v>
      </x:c>
      <x:c r="Q36" s="13"/>
      <x:c r="R36" s="15"/>
      <x:c r="S36" s="15"/>
      <x:c r="T36" s="15"/>
      <x:c r="U36" s="15"/>
      <x:c r="V36" s="15"/>
      <x:c r="W36" s="13" t="str">
        <x:v>nicht gefunden</x:v>
      </x:c>
    </x:row>
    <x:row r="37" ht="15" hidden="0" customHeight="1">
      <x:c r="A37" s="13" t="str">
        <x:v>Deutsch n=25</x:v>
      </x:c>
      <x:c r="B37" s="13" t="str">
        <x:v>Dense</x:v>
      </x:c>
      <x:c r="C37" s="13" t="str">
        <x:v>q11</x:v>
      </x:c>
      <x:c r="D37" s="13" t="str">
        <x:v>numerical</x:v>
      </x:c>
      <x:c r="E37" s="13" t="str">
        <x:v>Wie viele ECTS hat P13 Abschlussmodul?</x:v>
      </x:c>
      <x:c r="F37" s="13" t="str">
        <x:v>module+section</x:v>
      </x:c>
      <x:c r="G37" s="13" t="str">
        <x:v>lmu_computerlinguistik_bsc_stand_2025-09-24.pdf</x:v>
      </x:c>
      <x:c r="H37" s="13" t="str">
        <x:v>P13</x:v>
      </x:c>
      <x:c r="I37" s="13" t="str">
        <x:v>Zugeordnete Modulteile</x:v>
      </x:c>
      <x:c r="J37" s="13" t="str">
        <x:v>lmu_computerlinguistik_bsc_stand_2025-09-24.pdf</x:v>
      </x:c>
      <x:c r="K37" s="13" t="str">
        <x:v>P13</x:v>
      </x:c>
      <x:c r="L37" s="13" t="str">
        <x:v>Voraussetzung für die Vergabe</x:v>
      </x:c>
      <x:c r="M37" s="13" t="n">
        <x:v>2</x:v>
      </x:c>
      <x:c r="N37" s="13" t="str">
        <x:v>lmu_computerlinguistik_bsc_stand_2025-09-24.pdf::P13::Zugeordnete Modulteile</x:v>
      </x:c>
      <x:c r="O37" s="13" t="str">
        <x:v>lmu_computerlinguistik_bsc_stand_2025-09-24.pdf::P13::Voraussetzung für die Vergabe | lmu_computerlinguistik_bsc_stand_2025-09-24.pdf::P13::Zugeordnete Modulteile | lmu_computerlinguistik_bsc_stand_2025-09-24.pdf::P12::Zugeordnete Modulteile</x:v>
      </x:c>
      <x:c r="P37" s="13" t="n">
        <x:v>1</x:v>
      </x:c>
      <x:c r="Q37" s="13" t="n">
        <x:v>1</x:v>
      </x:c>
      <x:c r="R37" s="15" t="n">
        <x:v>0.3333333333333333</x:v>
      </x:c>
      <x:c r="S37" s="15" t="n">
        <x:v>1</x:v>
      </x:c>
      <x:c r="T37" s="15" t="n">
        <x:v>0.5</x:v>
      </x:c>
      <x:c r="U37" s="15" t="n">
        <x:v>0.6309297535714575</x:v>
      </x:c>
      <x:c r="V37" s="15"/>
      <x:c r="W37" s="13" t="str">
        <x:v>vollständig</x:v>
      </x:c>
    </x:row>
    <x:row r="38" ht="15" hidden="0" customHeight="1">
      <x:c r="A38" s="13" t="str">
        <x:v>Deutsch n=25</x:v>
      </x:c>
      <x:c r="B38" s="13" t="str">
        <x:v>Dense</x:v>
      </x:c>
      <x:c r="C38" s="13" t="str">
        <x:v>q12</x:v>
      </x:c>
      <x:c r="D38" s="13" t="str">
        <x:v>exam</x:v>
      </x:c>
      <x:c r="E38" s="13" t="str">
        <x:v>Welche Prüfungsform hat P13 Abschlussmodul?</x:v>
      </x:c>
      <x:c r="F38" s="13" t="str">
        <x:v>module+section</x:v>
      </x:c>
      <x:c r="G38" s="13" t="str">
        <x:v>lmu_computerlinguistik_bsc_stand_2025-09-24.pdf</x:v>
      </x:c>
      <x:c r="H38" s="13" t="str">
        <x:v>P13</x:v>
      </x:c>
      <x:c r="I38" s="13" t="str">
        <x:v>Form der Modulprüfung</x:v>
      </x:c>
      <x:c r="J38" s="13" t="str">
        <x:v>lmu_computerlinguistik_bsc_stand_2025-09-24.pdf</x:v>
      </x:c>
      <x:c r="K38" s="13" t="str">
        <x:v>P13</x:v>
      </x:c>
      <x:c r="L38" s="13" t="str">
        <x:v>Voraussetzung für die Vergabe</x:v>
      </x:c>
      <x:c r="M38" s="13"/>
      <x:c r="N38" s="13" t="str">
        <x:v>lmu_computerlinguistik_bsc_stand_2025-09-24.pdf::P13::Form der Modulprüfung</x:v>
      </x:c>
      <x:c r="O38" s="13" t="str">
        <x:v>lmu_computerlinguistik_bsc_stand_2025-09-24.pdf::P13::Voraussetzung für die Vergabe | lmu_computerlinguistik_bsc_stand_2025-09-24.pdf::P8::Voraussetzung für die Vergabe | lmu_computerlinguistik_bsc_stand_2025-09-24.pdf::P13::Qualifikationsziele</x:v>
      </x:c>
      <x:c r="P38" s="13" t="n">
        <x:v>1</x:v>
      </x:c>
      <x:c r="Q38" s="13"/>
      <x:c r="R38" s="15"/>
      <x:c r="S38" s="15"/>
      <x:c r="T38" s="15"/>
      <x:c r="U38" s="15"/>
      <x:c r="V38" s="15"/>
      <x:c r="W38" s="13" t="str">
        <x:v>nicht gefunden</x:v>
      </x:c>
    </x:row>
    <x:row r="39" ht="15" hidden="0" customHeight="1">
      <x:c r="A39" s="13" t="str">
        <x:v>Deutsch n=25</x:v>
      </x:c>
      <x:c r="B39" s="13" t="str">
        <x:v>Dense</x:v>
      </x:c>
      <x:c r="C39" s="13" t="str">
        <x:v>q13</x:v>
      </x:c>
      <x:c r="D39" s="13" t="str">
        <x:v>responsible_person</x:v>
      </x:c>
      <x:c r="E39" s="13" t="str">
        <x:v>Wer ist für WP4 Angewandtes Programmieren in der Computerlinguistik verantwortlich?</x:v>
      </x:c>
      <x:c r="F39" s="13" t="str">
        <x:v>module+section</x:v>
      </x:c>
      <x:c r="G39" s="13" t="str">
        <x:v>lmu_computerlinguistik_bsc_stand_2025-09-24.pdf</x:v>
      </x:c>
      <x:c r="H39" s="13" t="str">
        <x:v>WP4</x:v>
      </x:c>
      <x:c r="I39" s="13" t="str">
        <x:v>Modulverantwortliche/r</x:v>
      </x:c>
      <x:c r="J39" s="13" t="str">
        <x:v>lmu_computerlinguistik_bsc_stand_2025-09-24.pdf</x:v>
      </x:c>
      <x:c r="K39" s="13" t="str">
        <x:v>WP4</x:v>
      </x:c>
      <x:c r="L39" s="13" t="str">
        <x:v>header</x:v>
      </x:c>
      <x:c r="M39" s="13"/>
      <x:c r="N39" s="13" t="str">
        <x:v>lmu_computerlinguistik_bsc_stand_2025-09-24.pdf::WP4::Modulverantwortliche/r</x:v>
      </x:c>
      <x:c r="O39" s="13" t="str">
        <x:v>lmu_computerlinguistik_bsc_stand_2025-09-24.pdf::WP4::header | lmu_computerlinguistik_bsc_stand_2025-09-24.pdf::WP4::Teilnahmevoraussetzung | lmu_computerlinguistik_bsc_stand_2025-09-24.pdf::WP4::Zuordnung zum Studiengang</x:v>
      </x:c>
      <x:c r="P39" s="13" t="n">
        <x:v>1</x:v>
      </x:c>
      <x:c r="Q39" s="13"/>
      <x:c r="R39" s="15"/>
      <x:c r="S39" s="15"/>
      <x:c r="T39" s="15"/>
      <x:c r="U39" s="15"/>
      <x:c r="V39" s="15"/>
      <x:c r="W39" s="13" t="str">
        <x:v>nicht gefunden</x:v>
      </x:c>
    </x:row>
    <x:row r="40" ht="15" hidden="0" customHeight="1">
      <x:c r="A40" s="13" t="str">
        <x:v>Deutsch n=25</x:v>
      </x:c>
      <x:c r="B40" s="13" t="str">
        <x:v>Dense</x:v>
      </x:c>
      <x:c r="C40" s="13" t="str">
        <x:v>q14</x:v>
      </x:c>
      <x:c r="D40" s="13" t="str">
        <x:v>semester</x:v>
      </x:c>
      <x:c r="E40" s="13" t="str">
        <x:v>In welchem Semester wird P10 Statistische Methoden in der Sprachverarbeitung empfohlen?</x:v>
      </x:c>
      <x:c r="F40" s="13" t="str">
        <x:v>module+section</x:v>
      </x:c>
      <x:c r="G40" s="13" t="str">
        <x:v>lmu_computerlinguistik_bsc_stand_2025-09-24.pdf</x:v>
      </x:c>
      <x:c r="H40" s="13" t="str">
        <x:v>P10</x:v>
      </x:c>
      <x:c r="I40" s="13" t="str">
        <x:v>Zeitpunkt im Studienverlauf</x:v>
      </x:c>
      <x:c r="J40" s="13" t="str">
        <x:v>lmu_computerlinguistik_bsc_stand_2025-09-24.pdf</x:v>
      </x:c>
      <x:c r="K40" s="13" t="str">
        <x:v>P10</x:v>
      </x:c>
      <x:c r="L40" s="13" t="str">
        <x:v>Qualifikationsziele</x:v>
      </x:c>
      <x:c r="M40" s="13" t="n">
        <x:v>2</x:v>
      </x:c>
      <x:c r="N40" s="13" t="str">
        <x:v>lmu_computerlinguistik_bsc_stand_2025-09-24.pdf::P10::Zeitpunkt im Studienverlauf</x:v>
      </x:c>
      <x:c r="O40" s="13" t="str">
        <x:v>lmu_computerlinguistik_bsc_stand_2025-09-24.pdf::P10::Qualifikationsziele | lmu_computerlinguistik_bsc_stand_2025-09-24.pdf::P10::Zeitpunkt im Studienverlauf | lmu_computerlinguistik_bsc_stand_2025-09-24.pdf::P10::Dauer</x:v>
      </x:c>
      <x:c r="P40" s="13" t="n">
        <x:v>1</x:v>
      </x:c>
      <x:c r="Q40" s="13" t="n">
        <x:v>1</x:v>
      </x:c>
      <x:c r="R40" s="15" t="n">
        <x:v>0.3333333333333333</x:v>
      </x:c>
      <x:c r="S40" s="15" t="n">
        <x:v>1</x:v>
      </x:c>
      <x:c r="T40" s="15" t="n">
        <x:v>0.5</x:v>
      </x:c>
      <x:c r="U40" s="15" t="n">
        <x:v>0.6309297535714575</x:v>
      </x:c>
      <x:c r="V40" s="15"/>
      <x:c r="W40" s="13" t="str">
        <x:v>vollständig</x:v>
      </x:c>
    </x:row>
    <x:row r="41">
      <x:c r="A41" s="13" t="str">
        <x:v>Deutsch n=25</x:v>
      </x:c>
      <x:c r="B41" s="13" t="str">
        <x:v>Dense</x:v>
      </x:c>
      <x:c r="C41" s="13" t="str">
        <x:v>q15</x:v>
      </x:c>
      <x:c r="D41" s="13" t="str">
        <x:v>content</x:v>
      </x:c>
      <x:c r="E41" s="13" t="str">
        <x:v>Welche Inhalte behandelt P8 Computerlinguistische Anwendungen und Korpusbearbeitung?</x:v>
      </x:c>
      <x:c r="F41" s="13" t="str">
        <x:v>module+section</x:v>
      </x:c>
      <x:c r="G41" s="13" t="str">
        <x:v>lmu_computerlinguistik_bsc_stand_2025-09-24.pdf</x:v>
      </x:c>
      <x:c r="H41" s="13" t="str">
        <x:v>P8</x:v>
      </x:c>
      <x:c r="I41" s="13" t="str">
        <x:v>Inhalte</x:v>
      </x:c>
      <x:c r="J41" s="13" t="str">
        <x:v>lmu_computerlinguistik_bsc_stand_2025-09-24.pdf</x:v>
      </x:c>
      <x:c r="K41" s="13" t="str">
        <x:v>P8</x:v>
      </x:c>
      <x:c r="L41" s="13" t="str">
        <x:v>header</x:v>
      </x:c>
      <x:c r="M41" s="13"/>
      <x:c r="N41" s="13" t="str">
        <x:v>lmu_computerlinguistik_bsc_stand_2025-09-24.pdf::P8::Inhalte</x:v>
      </x:c>
      <x:c r="O41" s="13" t="str">
        <x:v>lmu_computerlinguistik_bsc_stand_2025-09-24.pdf::P8::header | lmu_computerlinguistik_bsc_stand_2025-09-24.pdf::P8::Art der Bewertung | lmu_computerlinguistik_bsc_stand_2025-09-24.pdf::P8::Teilnahmevoraussetzung</x:v>
      </x:c>
      <x:c r="P41" s="13" t="n">
        <x:v>1</x:v>
      </x:c>
      <x:c r="Q41" s="13"/>
      <x:c r="R41" s="15"/>
      <x:c r="S41" s="15"/>
      <x:c r="T41" s="15"/>
      <x:c r="U41" s="15"/>
      <x:c r="V41" s="15"/>
      <x:c r="W41" s="13" t="str">
        <x:v>nicht gefunden</x:v>
      </x:c>
    </x:row>
    <x:row r="42">
      <x:c r="A42" s="13" t="str">
        <x:v>Deutsch n=25</x:v>
      </x:c>
      <x:c r="B42" s="13" t="str">
        <x:v>Dense</x:v>
      </x:c>
      <x:c r="C42" s="13" t="str">
        <x:v>q16</x:v>
      </x:c>
      <x:c r="D42" s="13" t="str">
        <x:v>exam</x:v>
      </x:c>
      <x:c r="E42" s="13" t="str">
        <x:v>Welche Prüfungsform hat P11 Informationsextraktion?</x:v>
      </x:c>
      <x:c r="F42" s="13" t="str">
        <x:v>module+section</x:v>
      </x:c>
      <x:c r="G42" s="13" t="str">
        <x:v>lmu_computerlinguistik_bsc_stand_2025-09-24.pdf</x:v>
      </x:c>
      <x:c r="H42" s="13" t="str">
        <x:v>P11</x:v>
      </x:c>
      <x:c r="I42" s="13" t="str">
        <x:v>Form der Modulprüfung</x:v>
      </x:c>
      <x:c r="J42" s="13" t="str">
        <x:v>lmu_computerlinguistik_bsc_stand_2025-09-24.pdf</x:v>
      </x:c>
      <x:c r="K42" s="13" t="str">
        <x:v>P11</x:v>
      </x:c>
      <x:c r="L42" s="13" t="str">
        <x:v>Qualifikationsziele</x:v>
      </x:c>
      <x:c r="M42" s="13"/>
      <x:c r="N42" s="13" t="str">
        <x:v>lmu_computerlinguistik_bsc_stand_2025-09-24.pdf::P11::Form der Modulprüfung</x:v>
      </x:c>
      <x:c r="O42" s="13" t="str">
        <x:v>lmu_computerlinguistik_bsc_stand_2025-09-24.pdf::P11::Qualifikationsziele | lmu_computerlinguistik_bsc_stand_2025-09-24.pdf::P11::Art der Bewertung | lmu_computerlinguistik_bsc_stand_2025-09-24.pdf::P11::Englischer Modultitel</x:v>
      </x:c>
      <x:c r="P42" s="13" t="n">
        <x:v>1</x:v>
      </x:c>
      <x:c r="Q42" s="13"/>
      <x:c r="R42" s="15"/>
      <x:c r="S42" s="15"/>
      <x:c r="T42" s="15"/>
      <x:c r="U42" s="15"/>
      <x:c r="V42" s="15"/>
      <x:c r="W42" s="13" t="str">
        <x:v>nicht gefunden</x:v>
      </x:c>
    </x:row>
    <x:row r="43">
      <x:c r="A43" s="13" t="str">
        <x:v>Deutsch n=25</x:v>
      </x:c>
      <x:c r="B43" s="13" t="str">
        <x:v>Dense</x:v>
      </x:c>
      <x:c r="C43" s="13" t="str">
        <x:v>q17</x:v>
      </x:c>
      <x:c r="D43" s="13" t="str">
        <x:v>responsible_person</x:v>
      </x:c>
      <x:c r="E43" s="13" t="str">
        <x:v>Wer ist Modulverantwortlicher für P1 Einführung in die Programmierung?</x:v>
      </x:c>
      <x:c r="F43" s="13" t="str">
        <x:v>module+section</x:v>
      </x:c>
      <x:c r="G43" s="13" t="str">
        <x:v>lmu_computerlinguistik_bsc_stand_2025-09-24.pdf</x:v>
      </x:c>
      <x:c r="H43" s="13" t="str">
        <x:v>P1</x:v>
      </x:c>
      <x:c r="I43" s="13" t="str">
        <x:v>Modulverantwortliche/r</x:v>
      </x:c>
      <x:c r="J43" s="13" t="str">
        <x:v>lmu_computerlinguistik_bsc_stand_2025-09-24.pdf</x:v>
      </x:c>
      <x:c r="K43" s="13" t="str">
        <x:v>P1</x:v>
      </x:c>
      <x:c r="L43" s="13" t="str">
        <x:v>header</x:v>
      </x:c>
      <x:c r="M43" s="13"/>
      <x:c r="N43" s="13" t="str">
        <x:v>lmu_computerlinguistik_bsc_stand_2025-09-24.pdf::P1::Modulverantwortliche/r</x:v>
      </x:c>
      <x:c r="O43" s="13" t="str">
        <x:v>lmu_computerlinguistik_bsc_stand_2025-09-24.pdf::P1::header | lmu_computerlinguistik_bsc_stand_2025-09-24.pdf::P1::Englischer Modultitel | lmu_computerlinguistik_bsc_stand_2025-09-24.pdf::P1::Art des Moduls</x:v>
      </x:c>
      <x:c r="P43" s="13" t="n">
        <x:v>1</x:v>
      </x:c>
      <x:c r="Q43" s="13"/>
      <x:c r="R43" s="15"/>
      <x:c r="S43" s="15"/>
      <x:c r="T43" s="15"/>
      <x:c r="U43" s="15"/>
      <x:c r="V43" s="15"/>
      <x:c r="W43" s="13" t="str">
        <x:v>nicht gefunden</x:v>
      </x:c>
    </x:row>
    <x:row r="44">
      <x:c r="A44" s="13" t="str">
        <x:v>Deutsch n=25</x:v>
      </x:c>
      <x:c r="B44" s="13" t="str">
        <x:v>Dense</x:v>
      </x:c>
      <x:c r="C44" s="13" t="str">
        <x:v>q18</x:v>
      </x:c>
      <x:c r="D44" s="13" t="str">
        <x:v>prerequisite</x:v>
      </x:c>
      <x:c r="E44" s="13" t="str">
        <x:v>Welche Teilnahmevoraussetzung hat WP3 Information Retrieval?</x:v>
      </x:c>
      <x:c r="F44" s="13" t="str">
        <x:v>module+section</x:v>
      </x:c>
      <x:c r="G44" s="13" t="str">
        <x:v>lmu_computerlinguistik_bsc_stand_2025-09-24.pdf</x:v>
      </x:c>
      <x:c r="H44" s="13" t="str">
        <x:v>WP3</x:v>
      </x:c>
      <x:c r="I44" s="13" t="str">
        <x:v>Teilnahmevoraussetzung</x:v>
      </x:c>
      <x:c r="J44" s="13" t="str">
        <x:v>lmu_computerlinguistik_bsc_stand_2025-09-24.pdf</x:v>
      </x:c>
      <x:c r="K44" s="13" t="str">
        <x:v>WP3</x:v>
      </x:c>
      <x:c r="L44" s="13" t="str">
        <x:v>Teilnahmevoraussetzung</x:v>
      </x:c>
      <x:c r="M44" s="13" t="n">
        <x:v>1</x:v>
      </x:c>
      <x:c r="N44" s="13" t="str">
        <x:v>lmu_computerlinguistik_bsc_stand_2025-09-24.pdf::WP3::Teilnahmevoraussetzung</x:v>
      </x:c>
      <x:c r="O44" s="13" t="str">
        <x:v>lmu_computerlinguistik_bsc_stand_2025-09-24.pdf::WP3::Teilnahmevoraussetzung | lmu_computerlinguistik_bsc_stand_2025-09-24.pdf::WP3::Inhalte | lmu_computerlinguistik_bsc_stand_2025-09-24.pdf::WP3::Art der Bewertung</x:v>
      </x:c>
      <x:c r="P44" s="13" t="n">
        <x:v>1</x:v>
      </x:c>
      <x:c r="Q44" s="13" t="n">
        <x:v>1</x:v>
      </x:c>
      <x:c r="R44" s="15" t="n">
        <x:v>0.3333333333333333</x:v>
      </x:c>
      <x:c r="S44" s="15" t="n">
        <x:v>1</x:v>
      </x:c>
      <x:c r="T44" s="15" t="n">
        <x:v>1</x:v>
      </x:c>
      <x:c r="U44" s="15" t="n">
        <x:v>1</x:v>
      </x:c>
      <x:c r="V44" s="15" t="n">
        <x:v>1</x:v>
      </x:c>
      <x:c r="W44" s="13" t="str">
        <x:v>vollständig</x:v>
      </x:c>
    </x:row>
    <x:row r="45">
      <x:c r="A45" s="13" t="str">
        <x:v>Deutsch n=25</x:v>
      </x:c>
      <x:c r="B45" s="13" t="str">
        <x:v>Dense</x:v>
      </x:c>
      <x:c r="C45" s="13" t="str">
        <x:v>q19</x:v>
      </x:c>
      <x:c r="D45" s="13" t="str">
        <x:v>broad_topic</x:v>
      </x:c>
      <x:c r="E45" s="13" t="str">
        <x:v>Welche Module behandeln maschinelles Lernen?</x:v>
      </x:c>
      <x:c r="F45" s="13" t="str">
        <x:v>module+section</x:v>
      </x:c>
      <x:c r="G45" s="13" t="str">
        <x:v>lmu_computerlinguistik_bsc_stand_2025-09-24.pdf</x:v>
      </x:c>
      <x:c r="H45" s="13" t="str">
        <x:v>P8</x:v>
      </x:c>
      <x:c r="I45" s="13" t="str">
        <x:v>Inhalte</x:v>
      </x:c>
      <x:c r="J45" s="13" t="str">
        <x:v>lmu_computerlinguistik_bsc_stand_2025-09-24.pdf</x:v>
      </x:c>
      <x:c r="K45" s="13" t="str">
        <x:v>P8</x:v>
      </x:c>
      <x:c r="L45" s="13" t="str">
        <x:v>Qualifikationsziele</x:v>
      </x:c>
      <x:c r="M45" s="13"/>
      <x:c r="N45" s="13" t="str">
        <x:v>lmu_computerlinguistik_bsc_stand_2025-09-24.pdf::P8::Inhalte</x:v>
      </x:c>
      <x:c r="O45" s="13" t="str">
        <x:v>lmu_computerlinguistik_bsc_stand_2025-09-24.pdf::P8::Qualifikationsziele | lmu_computerlinguistik_bsc_stand_2025-09-24.pdf::P1::Qualifikationsziele | lmu_computerlinguistik_bsc_stand_2025-09-24.pdf::P5::Qualifikationsziele</x:v>
      </x:c>
      <x:c r="P45" s="13" t="n">
        <x:v>1</x:v>
      </x:c>
      <x:c r="Q45" s="13"/>
      <x:c r="R45" s="15"/>
      <x:c r="S45" s="15"/>
      <x:c r="T45" s="15"/>
      <x:c r="U45" s="15"/>
      <x:c r="V45" s="15"/>
      <x:c r="W45" s="13" t="str">
        <x:v>nicht gefunden</x:v>
      </x:c>
    </x:row>
    <x:row r="46">
      <x:c r="A46" s="13" t="str">
        <x:v>Deutsch n=25</x:v>
      </x:c>
      <x:c r="B46" s="13" t="str">
        <x:v>Dense</x:v>
      </x:c>
      <x:c r="C46" s="13" t="str">
        <x:v>q20</x:v>
      </x:c>
      <x:c r="D46" s="13" t="str">
        <x:v>broad_topic</x:v>
      </x:c>
      <x:c r="E46" s="13" t="str">
        <x:v>In welchem Modul geht es um Syntax natürlicher Sprachen?</x:v>
      </x:c>
      <x:c r="F46" s="13" t="str">
        <x:v>module+section</x:v>
      </x:c>
      <x:c r="G46" s="13" t="str">
        <x:v>lmu_computerlinguistik_bsc_stand_2025-09-24.pdf</x:v>
      </x:c>
      <x:c r="H46" s="13" t="str">
        <x:v>P6</x:v>
      </x:c>
      <x:c r="I46" s="13" t="str">
        <x:v>Inhalte;header</x:v>
      </x:c>
      <x:c r="J46" s="13" t="str">
        <x:v>lmu_computerlinguistik_bsc_stand_2025-09-24.pdf</x:v>
      </x:c>
      <x:c r="K46" s="13" t="str">
        <x:v>P6</x:v>
      </x:c>
      <x:c r="L46" s="13" t="str">
        <x:v>Inhalte</x:v>
      </x:c>
      <x:c r="M46" s="13" t="n">
        <x:v>1</x:v>
      </x:c>
      <x:c r="N46" s="13" t="str">
        <x:v>lmu_computerlinguistik_bsc_stand_2025-09-24.pdf::P6::Inhalte | lmu_computerlinguistik_bsc_stand_2025-09-24.pdf::P6::header</x:v>
      </x:c>
      <x:c r="O46" s="13" t="str">
        <x:v>lmu_computerlinguistik_bsc_stand_2025-09-24.pdf::P6::Inhalte | lmu_computerlinguistik_bsc_stand_2025-09-24.pdf::P6::Art des Moduls | lmu_computerlinguistik_bsc_stand_2025-09-24.pdf::P6::header</x:v>
      </x:c>
      <x:c r="P46" s="13" t="n">
        <x:v>2</x:v>
      </x:c>
      <x:c r="Q46" s="13" t="n">
        <x:v>2</x:v>
      </x:c>
      <x:c r="R46" s="15" t="n">
        <x:v>0.6666666666666666</x:v>
      </x:c>
      <x:c r="S46" s="15" t="n">
        <x:v>1</x:v>
      </x:c>
      <x:c r="T46" s="15" t="n">
        <x:v>1</x:v>
      </x:c>
      <x:c r="U46" s="15" t="n">
        <x:v>0.9197207891481876</x:v>
      </x:c>
      <x:c r="V46" s="15" t="n">
        <x:v>1</x:v>
      </x:c>
      <x:c r="W46" s="13" t="str">
        <x:v>vollständig</x:v>
      </x:c>
    </x:row>
    <x:row r="47">
      <x:c r="A47" s="13" t="str">
        <x:v>Deutsch n=25</x:v>
      </x:c>
      <x:c r="B47" s="13" t="str">
        <x:v>Dense</x:v>
      </x:c>
      <x:c r="C47" s="13" t="str">
        <x:v>q21</x:v>
      </x:c>
      <x:c r="D47" s="13" t="str">
        <x:v>exam</x:v>
      </x:c>
      <x:c r="E47" s="13" t="str">
        <x:v>Welche Prüfungsform hat WP1 Computergestützte Morphologie und Lexikographie?</x:v>
      </x:c>
      <x:c r="F47" s="13" t="str">
        <x:v>module+section</x:v>
      </x:c>
      <x:c r="G47" s="13" t="str">
        <x:v>lmu_computerlinguistik_bsc_stand_2025-09-24.pdf</x:v>
      </x:c>
      <x:c r="H47" s="13" t="str">
        <x:v>WP1</x:v>
      </x:c>
      <x:c r="I47" s="13" t="str">
        <x:v>Form der Modulprüfung</x:v>
      </x:c>
      <x:c r="J47" s="13" t="str">
        <x:v>lmu_computerlinguistik_bsc_stand_2025-09-24.pdf</x:v>
      </x:c>
      <x:c r="K47" s="13" t="str">
        <x:v>WP1</x:v>
      </x:c>
      <x:c r="L47" s="13" t="str">
        <x:v>Art der Bewertung</x:v>
      </x:c>
      <x:c r="M47" s="13"/>
      <x:c r="N47" s="13" t="str">
        <x:v>lmu_computerlinguistik_bsc_stand_2025-09-24.pdf::WP1::Form der Modulprüfung</x:v>
      </x:c>
      <x:c r="O47" s="13" t="str">
        <x:v>lmu_computerlinguistik_bsc_stand_2025-09-24.pdf::WP1::Art der Bewertung | lmu_computerlinguistik_bsc_stand_2025-09-24.pdf::WP1::Englischer Modultitel | lmu_computerlinguistik_bsc_stand_2025-09-24.pdf::WP1::header</x:v>
      </x:c>
      <x:c r="P47" s="13" t="n">
        <x:v>1</x:v>
      </x:c>
      <x:c r="Q47" s="13"/>
      <x:c r="R47" s="15"/>
      <x:c r="S47" s="15"/>
      <x:c r="T47" s="15"/>
      <x:c r="U47" s="15"/>
      <x:c r="V47" s="15"/>
      <x:c r="W47" s="13" t="str">
        <x:v>nicht gefunden</x:v>
      </x:c>
    </x:row>
    <x:row r="48">
      <x:c r="A48" s="13" t="str">
        <x:v>Deutsch n=25</x:v>
      </x:c>
      <x:c r="B48" s="13" t="str">
        <x:v>Dense</x:v>
      </x:c>
      <x:c r="C48" s="13" t="str">
        <x:v>q22</x:v>
      </x:c>
      <x:c r="D48" s="13" t="str">
        <x:v>responsible_person</x:v>
      </x:c>
      <x:c r="E48" s="13" t="str">
        <x:v>Wer ist Modulverantwortlicher für WP2 Höhere Programmiersprache?</x:v>
      </x:c>
      <x:c r="F48" s="13" t="str">
        <x:v>module+section</x:v>
      </x:c>
      <x:c r="G48" s="13" t="str">
        <x:v>lmu_computerlinguistik_bsc_stand_2025-09-24.pdf</x:v>
      </x:c>
      <x:c r="H48" s="13" t="str">
        <x:v>WP2</x:v>
      </x:c>
      <x:c r="I48" s="13" t="str">
        <x:v>Modulverantwortliche/r</x:v>
      </x:c>
      <x:c r="J48" s="13" t="str">
        <x:v>lmu_computerlinguistik_bsc_stand_2025-09-24.pdf</x:v>
      </x:c>
      <x:c r="K48" s="13" t="str">
        <x:v>WP2</x:v>
      </x:c>
      <x:c r="L48" s="13" t="str">
        <x:v>Englischer Modultitel</x:v>
      </x:c>
      <x:c r="M48" s="13"/>
      <x:c r="N48" s="13" t="str">
        <x:v>lmu_computerlinguistik_bsc_stand_2025-09-24.pdf::WP2::Modulverantwortliche/r</x:v>
      </x:c>
      <x:c r="O48" s="13" t="str">
        <x:v>lmu_computerlinguistik_bsc_stand_2025-09-24.pdf::WP2::Englischer Modultitel | lmu_computerlinguistik_bsc_stand_2025-09-24.pdf::WP2::header | lmu_computerlinguistik_bsc_stand_2025-09-24.pdf::WP2::Teilnahmevoraussetzung</x:v>
      </x:c>
      <x:c r="P48" s="13" t="n">
        <x:v>1</x:v>
      </x:c>
      <x:c r="Q48" s="13"/>
      <x:c r="R48" s="15"/>
      <x:c r="S48" s="15"/>
      <x:c r="T48" s="15"/>
      <x:c r="U48" s="15"/>
      <x:c r="V48" s="15"/>
      <x:c r="W48" s="13" t="str">
        <x:v>nicht gefunden</x:v>
      </x:c>
    </x:row>
    <x:row r="49">
      <x:c r="A49" s="13" t="str">
        <x:v>Deutsch n=25</x:v>
      </x:c>
      <x:c r="B49" s="13" t="str">
        <x:v>Dense</x:v>
      </x:c>
      <x:c r="C49" s="13" t="str">
        <x:v>q23</x:v>
      </x:c>
      <x:c r="D49" s="13" t="str">
        <x:v>numerical</x:v>
      </x:c>
      <x:c r="E49" s="13" t="str">
        <x:v>Wie viele ECTS hat P4 Mathematische Grundlagen der Computerlinguistik?</x:v>
      </x:c>
      <x:c r="F49" s="13" t="str">
        <x:v>module+section</x:v>
      </x:c>
      <x:c r="G49" s="13" t="str">
        <x:v>lmu_computerlinguistik_bsc_stand_2025-09-24.pdf</x:v>
      </x:c>
      <x:c r="H49" s="13" t="str">
        <x:v>P4</x:v>
      </x:c>
      <x:c r="I49" s="13" t="str">
        <x:v>Zugeordnete Modulteile</x:v>
      </x:c>
      <x:c r="J49" s="13" t="str">
        <x:v>lmu_computerlinguistik_bsc_stand_2025-09-24.pdf</x:v>
      </x:c>
      <x:c r="K49" s="13" t="str">
        <x:v>P4</x:v>
      </x:c>
      <x:c r="L49" s="13" t="str">
        <x:v>Voraussetzung für die Vergabe</x:v>
      </x:c>
      <x:c r="M49" s="13"/>
      <x:c r="N49" s="13" t="str">
        <x:v>lmu_computerlinguistik_bsc_stand_2025-09-24.pdf::P4::Zugeordnete Modulteile</x:v>
      </x:c>
      <x:c r="O49" s="13" t="str">
        <x:v>lmu_computerlinguistik_bsc_stand_2025-09-24.pdf::P4::Voraussetzung für die Vergabe | lmu_computerlinguistik_bsc_stand_2025-09-24.pdf::P4::header | lmu_computerlinguistik_bsc_stand_2025-09-24.pdf::P4::Zuordnung zum Studiengang</x:v>
      </x:c>
      <x:c r="P49" s="13" t="n">
        <x:v>1</x:v>
      </x:c>
      <x:c r="Q49" s="13"/>
      <x:c r="R49" s="15"/>
      <x:c r="S49" s="15"/>
      <x:c r="T49" s="15"/>
      <x:c r="U49" s="15"/>
      <x:c r="V49" s="15"/>
      <x:c r="W49" s="13" t="str">
        <x:v>nicht gefunden</x:v>
      </x:c>
    </x:row>
    <x:row r="50">
      <x:c r="A50" s="13" t="str">
        <x:v>Deutsch n=25</x:v>
      </x:c>
      <x:c r="B50" s="13" t="str">
        <x:v>Dense</x:v>
      </x:c>
      <x:c r="C50" s="13" t="str">
        <x:v>q24</x:v>
      </x:c>
      <x:c r="D50" s="13" t="str">
        <x:v>content</x:v>
      </x:c>
      <x:c r="E50" s="13" t="str">
        <x:v>Welche Inhalte behandelt P5 Symbolische Programmiersprache?</x:v>
      </x:c>
      <x:c r="F50" s="13" t="str">
        <x:v>module+section</x:v>
      </x:c>
      <x:c r="G50" s="13" t="str">
        <x:v>lmu_computerlinguistik_bsc_stand_2025-09-24.pdf</x:v>
      </x:c>
      <x:c r="H50" s="13" t="str">
        <x:v>P5</x:v>
      </x:c>
      <x:c r="I50" s="13" t="str">
        <x:v>Inhalte</x:v>
      </x:c>
      <x:c r="J50" s="13" t="str">
        <x:v>lmu_computerlinguistik_bsc_stand_2025-09-24.pdf</x:v>
      </x:c>
      <x:c r="K50" s="13" t="str">
        <x:v>P5</x:v>
      </x:c>
      <x:c r="L50" s="13" t="str">
        <x:v>Englischer Modultitel</x:v>
      </x:c>
      <x:c r="M50" s="13"/>
      <x:c r="N50" s="13" t="str">
        <x:v>lmu_computerlinguistik_bsc_stand_2025-09-24.pdf::P5::Inhalte</x:v>
      </x:c>
      <x:c r="O50" s="13" t="str">
        <x:v>lmu_computerlinguistik_bsc_stand_2025-09-24.pdf::P5::Englischer Modultitel | lmu_computerlinguistik_bsc_stand_2025-09-24.pdf::P5::header | lmu_computerlinguistik_bsc_stand_2025-09-24.pdf::P5::Art der Bewertung</x:v>
      </x:c>
      <x:c r="P50" s="13" t="n">
        <x:v>1</x:v>
      </x:c>
      <x:c r="Q50" s="13"/>
      <x:c r="R50" s="15"/>
      <x:c r="S50" s="15"/>
      <x:c r="T50" s="15"/>
      <x:c r="U50" s="15"/>
      <x:c r="V50" s="15"/>
      <x:c r="W50" s="13" t="str">
        <x:v>nicht gefunden</x:v>
      </x:c>
    </x:row>
    <x:row r="51">
      <x:c r="A51" s="13" t="str">
        <x:v>Deutsch n=25</x:v>
      </x:c>
      <x:c r="B51" s="13" t="str">
        <x:v>Dense</x:v>
      </x:c>
      <x:c r="C51" s="13" t="str">
        <x:v>q25</x:v>
      </x:c>
      <x:c r="D51" s="13" t="str">
        <x:v>language</x:v>
      </x:c>
      <x:c r="E51" s="13" t="str">
        <x:v>Welche Unterrichtssprache hat WP3 Information Retrieval?</x:v>
      </x:c>
      <x:c r="F51" s="13" t="str">
        <x:v>module+section</x:v>
      </x:c>
      <x:c r="G51" s="13" t="str">
        <x:v>lmu_computerlinguistik_bsc_stand_2025-09-24.pdf</x:v>
      </x:c>
      <x:c r="H51" s="13" t="str">
        <x:v>WP3</x:v>
      </x:c>
      <x:c r="I51" s="13" t="str">
        <x:v>Unterrichtssprache</x:v>
      </x:c>
      <x:c r="J51" s="13" t="str">
        <x:v>lmu_computerlinguistik_bsc_stand_2025-09-24.pdf</x:v>
      </x:c>
      <x:c r="K51" s="13" t="str">
        <x:v>WP3</x:v>
      </x:c>
      <x:c r="L51" s="13" t="str">
        <x:v>Unterrichtssprache</x:v>
      </x:c>
      <x:c r="M51" s="13" t="n">
        <x:v>1</x:v>
      </x:c>
      <x:c r="N51" s="13" t="str">
        <x:v>lmu_computerlinguistik_bsc_stand_2025-09-24.pdf::WP3::Unterrichtssprache</x:v>
      </x:c>
      <x:c r="O51" s="13" t="str">
        <x:v>lmu_computerlinguistik_bsc_stand_2025-09-24.pdf::WP3::Unterrichtssprache | lmu_computerlinguistik_bsc_stand_2025-09-24.pdf::WP3::Englischer Modultitel | lmu_computerlinguistik_bsc_stand_2025-09-24.pdf::WP3::Qualifikationsziele</x:v>
      </x:c>
      <x:c r="P51" s="13" t="n">
        <x:v>1</x:v>
      </x:c>
      <x:c r="Q51" s="13" t="n">
        <x:v>1</x:v>
      </x:c>
      <x:c r="R51" s="15" t="n">
        <x:v>0.3333333333333333</x:v>
      </x:c>
      <x:c r="S51" s="15" t="n">
        <x:v>1</x:v>
      </x:c>
      <x:c r="T51" s="15" t="n">
        <x:v>1</x:v>
      </x:c>
      <x:c r="U51" s="15" t="n">
        <x:v>1</x:v>
      </x:c>
      <x:c r="V51" s="15" t="n">
        <x:v>1</x:v>
      </x:c>
      <x:c r="W51" s="13" t="str">
        <x:v>vollständig</x:v>
      </x:c>
    </x:row>
    <x:row r="52">
      <x:c r="A52" s="13" t="str">
        <x:v>Deutsch n=25</x:v>
      </x:c>
      <x:c r="B52" s="13" t="str">
        <x:v>Hybrid_alpha_0.25</x:v>
      </x:c>
      <x:c r="C52" s="13" t="str">
        <x:v>q01</x:v>
      </x:c>
      <x:c r="D52" s="13" t="str">
        <x:v>numerical</x:v>
      </x:c>
      <x:c r="E52" s="13" t="str">
        <x:v>Wie viele ECTS hat WP3 Information Retrieval?</x:v>
      </x:c>
      <x:c r="F52" s="13" t="str">
        <x:v>module+section</x:v>
      </x:c>
      <x:c r="G52" s="13" t="str">
        <x:v>lmu_computerlinguistik_bsc_stand_2025-09-24.pdf</x:v>
      </x:c>
      <x:c r="H52" s="13" t="str">
        <x:v>WP3</x:v>
      </x:c>
      <x:c r="I52" s="13" t="str">
        <x:v>Zugeordnete Modulteile</x:v>
      </x:c>
      <x:c r="J52" s="13" t="str">
        <x:v>lmu_computerlinguistik_bsc_stand_2025-09-24.pdf</x:v>
      </x:c>
      <x:c r="K52" s="13" t="str">
        <x:v>WP3</x:v>
      </x:c>
      <x:c r="L52" s="13" t="str">
        <x:v>Zugeordnete Modulteile</x:v>
      </x:c>
      <x:c r="M52" s="13" t="n">
        <x:v>1</x:v>
      </x:c>
      <x:c r="N52" s="13" t="str">
        <x:v>lmu_computerlinguistik_bsc_stand_2025-09-24.pdf::WP3::Zugeordnete Modulteile</x:v>
      </x:c>
      <x:c r="O52" s="13" t="str">
        <x:v>lmu_computerlinguistik_bsc_stand_2025-09-24.pdf::WP3::Zugeordnete Modulteile | lmu_computerlinguistik_bsc_stand_2025-09-24.pdf::WP3::Voraussetzung für die Vergabe | lmu_computerlinguistik_bsc_stand_2025-09-24.pdf::P13::Zugeordnete Modulteile</x:v>
      </x:c>
      <x:c r="P52" s="13" t="n">
        <x:v>1</x:v>
      </x:c>
      <x:c r="Q52" s="13" t="n">
        <x:v>1</x:v>
      </x:c>
      <x:c r="R52" s="15" t="n">
        <x:v>0.3333333333333333</x:v>
      </x:c>
      <x:c r="S52" s="15" t="n">
        <x:v>1</x:v>
      </x:c>
      <x:c r="T52" s="15" t="n">
        <x:v>1</x:v>
      </x:c>
      <x:c r="U52" s="15" t="n">
        <x:v>1</x:v>
      </x:c>
      <x:c r="V52" s="15" t="n">
        <x:v>1</x:v>
      </x:c>
      <x:c r="W52" s="13" t="str">
        <x:v>vollständig</x:v>
      </x:c>
    </x:row>
    <x:row r="53">
      <x:c r="A53" s="13" t="str">
        <x:v>Deutsch n=25</x:v>
      </x:c>
      <x:c r="B53" s="13" t="str">
        <x:v>Hybrid_alpha_0.25</x:v>
      </x:c>
      <x:c r="C53" s="13" t="str">
        <x:v>q02</x:v>
      </x:c>
      <x:c r="D53" s="13" t="str">
        <x:v>exam</x:v>
      </x:c>
      <x:c r="E53" s="13" t="str">
        <x:v>Welche Prüfungsform hat WP3 Information Retrieval?</x:v>
      </x:c>
      <x:c r="F53" s="13" t="str">
        <x:v>module+section</x:v>
      </x:c>
      <x:c r="G53" s="13" t="str">
        <x:v>lmu_computerlinguistik_bsc_stand_2025-09-24.pdf</x:v>
      </x:c>
      <x:c r="H53" s="13" t="str">
        <x:v>WP3</x:v>
      </x:c>
      <x:c r="I53" s="13" t="str">
        <x:v>Form der Modulprüfung</x:v>
      </x:c>
      <x:c r="J53" s="13" t="str">
        <x:v>lmu_computerlinguistik_bsc_stand_2025-09-24.pdf</x:v>
      </x:c>
      <x:c r="K53" s="13" t="str">
        <x:v>WP3</x:v>
      </x:c>
      <x:c r="L53" s="13" t="str">
        <x:v>Form der Modulprüfung</x:v>
      </x:c>
      <x:c r="M53" s="13" t="n">
        <x:v>1</x:v>
      </x:c>
      <x:c r="N53" s="13" t="str">
        <x:v>lmu_computerlinguistik_bsc_stand_2025-09-24.pdf::WP3::Form der Modulprüfung</x:v>
      </x:c>
      <x:c r="O53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53" s="13" t="n">
        <x:v>1</x:v>
      </x:c>
      <x:c r="Q53" s="13" t="n">
        <x:v>1</x:v>
      </x:c>
      <x:c r="R53" s="15" t="n">
        <x:v>0.3333333333333333</x:v>
      </x:c>
      <x:c r="S53" s="15" t="n">
        <x:v>1</x:v>
      </x:c>
      <x:c r="T53" s="15" t="n">
        <x:v>1</x:v>
      </x:c>
      <x:c r="U53" s="15" t="n">
        <x:v>1</x:v>
      </x:c>
      <x:c r="V53" s="15" t="n">
        <x:v>1</x:v>
      </x:c>
      <x:c r="W53" s="13" t="str">
        <x:v>vollständig</x:v>
      </x:c>
    </x:row>
    <x:row r="54">
      <x:c r="A54" s="13" t="str">
        <x:v>Deutsch n=25</x:v>
      </x:c>
      <x:c r="B54" s="13" t="str">
        <x:v>Hybrid_alpha_0.25</x:v>
      </x:c>
      <x:c r="C54" s="13" t="str">
        <x:v>q03</x:v>
      </x:c>
      <x:c r="D54" s="13" t="str">
        <x:v>responsible_person</x:v>
      </x:c>
      <x:c r="E54" s="13" t="str">
        <x:v>Wer ist modulverantwortlich für P10 Statistische Methoden in der Sprachverarbeitung?</x:v>
      </x:c>
      <x:c r="F54" s="13" t="str">
        <x:v>module+section</x:v>
      </x:c>
      <x:c r="G54" s="13" t="str">
        <x:v>lmu_computerlinguistik_bsc_stand_2025-09-24.pdf</x:v>
      </x:c>
      <x:c r="H54" s="13" t="str">
        <x:v>P10</x:v>
      </x:c>
      <x:c r="I54" s="13" t="str">
        <x:v>Modulverantwortliche/r</x:v>
      </x:c>
      <x:c r="J54" s="13" t="str">
        <x:v>lmu_computerlinguistik_bsc_stand_2025-09-24.pdf</x:v>
      </x:c>
      <x:c r="K54" s="13" t="str">
        <x:v>P10</x:v>
      </x:c>
      <x:c r="L54" s="13" t="str">
        <x:v>Modulverantwortliche/r</x:v>
      </x:c>
      <x:c r="M54" s="13" t="n">
        <x:v>1</x:v>
      </x:c>
      <x:c r="N54" s="13" t="str">
        <x:v>lmu_computerlinguistik_bsc_stand_2025-09-24.pdf::P10::Modulverantwortliche/r</x:v>
      </x:c>
      <x:c r="O54" s="13" t="str">
        <x:v>lmu_computerlinguistik_bsc_stand_2025-09-24.pdf::P10::Modulverantwortliche/r | lmu_computerlinguistik_bsc_stand_2025-09-24.pdf::P10::header | lmu_computerlinguistik_bsc_stand_2025-09-24.pdf::P10::Englischer Modultitel</x:v>
      </x:c>
      <x:c r="P54" s="13" t="n">
        <x:v>1</x:v>
      </x:c>
      <x:c r="Q54" s="13" t="n">
        <x:v>1</x:v>
      </x:c>
      <x:c r="R54" s="15" t="n">
        <x:v>0.3333333333333333</x:v>
      </x:c>
      <x:c r="S54" s="15" t="n">
        <x:v>1</x:v>
      </x:c>
      <x:c r="T54" s="15" t="n">
        <x:v>1</x:v>
      </x:c>
      <x:c r="U54" s="15" t="n">
        <x:v>1</x:v>
      </x:c>
      <x:c r="V54" s="15" t="n">
        <x:v>1</x:v>
      </x:c>
      <x:c r="W54" s="13" t="str">
        <x:v>vollständig</x:v>
      </x:c>
    </x:row>
    <x:row r="55">
      <x:c r="A55" s="13" t="str">
        <x:v>Deutsch n=25</x:v>
      </x:c>
      <x:c r="B55" s="13" t="str">
        <x:v>Hybrid_alpha_0.25</x:v>
      </x:c>
      <x:c r="C55" s="13" t="str">
        <x:v>q04</x:v>
      </x:c>
      <x:c r="D55" s="13" t="str">
        <x:v>semester</x:v>
      </x:c>
      <x:c r="E55" s="13" t="str">
        <x:v>In welchem Semester wird P8 empfohlen?</x:v>
      </x:c>
      <x:c r="F55" s="13" t="str">
        <x:v>module+section</x:v>
      </x:c>
      <x:c r="G55" s="13" t="str">
        <x:v>lmu_computerlinguistik_bsc_stand_2025-09-24.pdf</x:v>
      </x:c>
      <x:c r="H55" s="13" t="str">
        <x:v>P8</x:v>
      </x:c>
      <x:c r="I55" s="13" t="str">
        <x:v>Zeitpunkt im Studienverlauf</x:v>
      </x:c>
      <x:c r="J55" s="13" t="str">
        <x:v>lmu_computerlinguistik_bsc_stand_2025-09-24.pdf</x:v>
      </x:c>
      <x:c r="K55" s="13" t="str">
        <x:v>P8</x:v>
      </x:c>
      <x:c r="L55" s="13" t="str">
        <x:v>Zeitpunkt im Studienverlauf</x:v>
      </x:c>
      <x:c r="M55" s="13" t="n">
        <x:v>1</x:v>
      </x:c>
      <x:c r="N55" s="13" t="str">
        <x:v>lmu_computerlinguistik_bsc_stand_2025-09-24.pdf::P8::Zeitpunkt im Studienverlauf</x:v>
      </x:c>
      <x:c r="O55" s="13" t="str">
        <x:v>lmu_computerlinguistik_bsc_stand_2025-09-24.pdf::P8::Zeitpunkt im Studienverlauf | lmu_computerlinguistik_bsc_stand_2025-09-24.pdf::P7::Zeitpunkt im Studienverlauf | lmu_computerlinguistik_bsc_stand_2025-09-24.pdf::P11::Zeitpunkt im Studienverlauf</x:v>
      </x:c>
      <x:c r="P55" s="13" t="n">
        <x:v>1</x:v>
      </x:c>
      <x:c r="Q55" s="13" t="n">
        <x:v>1</x:v>
      </x:c>
      <x:c r="R55" s="15" t="n">
        <x:v>0.3333333333333333</x:v>
      </x:c>
      <x:c r="S55" s="15" t="n">
        <x:v>1</x:v>
      </x:c>
      <x:c r="T55" s="15" t="n">
        <x:v>1</x:v>
      </x:c>
      <x:c r="U55" s="15" t="n">
        <x:v>1</x:v>
      </x:c>
      <x:c r="V55" s="15" t="n">
        <x:v>1</x:v>
      </x:c>
      <x:c r="W55" s="13" t="str">
        <x:v>vollständig</x:v>
      </x:c>
    </x:row>
    <x:row r="56">
      <x:c r="A56" s="13" t="str">
        <x:v>Deutsch n=25</x:v>
      </x:c>
      <x:c r="B56" s="13" t="str">
        <x:v>Hybrid_alpha_0.25</x:v>
      </x:c>
      <x:c r="C56" s="13" t="str">
        <x:v>q05</x:v>
      </x:c>
      <x:c r="D56" s="13" t="str">
        <x:v>content</x:v>
      </x:c>
      <x:c r="E56" s="13" t="str">
        <x:v>Welche Inhalte behandelt P11 Informationsextraktion?</x:v>
      </x:c>
      <x:c r="F56" s="13" t="str">
        <x:v>module+section</x:v>
      </x:c>
      <x:c r="G56" s="13" t="str">
        <x:v>lmu_computerlinguistik_bsc_stand_2025-09-24.pdf</x:v>
      </x:c>
      <x:c r="H56" s="13" t="str">
        <x:v>P11</x:v>
      </x:c>
      <x:c r="I56" s="13" t="str">
        <x:v>Inhalte</x:v>
      </x:c>
      <x:c r="J56" s="13" t="str">
        <x:v>lmu_computerlinguistik_bsc_stand_2025-09-24.pdf</x:v>
      </x:c>
      <x:c r="K56" s="13" t="str">
        <x:v>P11</x:v>
      </x:c>
      <x:c r="L56" s="13" t="str">
        <x:v>Inhalte</x:v>
      </x:c>
      <x:c r="M56" s="13" t="n">
        <x:v>1</x:v>
      </x:c>
      <x:c r="N56" s="13" t="str">
        <x:v>lmu_computerlinguistik_bsc_stand_2025-09-24.pdf::P11::Inhalte</x:v>
      </x:c>
      <x:c r="O56" s="13" t="str">
        <x:v>lmu_computerlinguistik_bsc_stand_2025-09-24.pdf::P11::Inhalte | lmu_computerlinguistik_bsc_stand_2025-09-24.pdf::P12::Inhalte | lmu_computerlinguistik_bsc_stand_2025-09-24.pdf::P7::Inhalte</x:v>
      </x:c>
      <x:c r="P56" s="13" t="n">
        <x:v>1</x:v>
      </x:c>
      <x:c r="Q56" s="13" t="n">
        <x:v>1</x:v>
      </x:c>
      <x:c r="R56" s="15" t="n">
        <x:v>0.3333333333333333</x:v>
      </x:c>
      <x:c r="S56" s="15" t="n">
        <x:v>1</x:v>
      </x:c>
      <x:c r="T56" s="15" t="n">
        <x:v>1</x:v>
      </x:c>
      <x:c r="U56" s="15" t="n">
        <x:v>1</x:v>
      </x:c>
      <x:c r="V56" s="15" t="n">
        <x:v>1</x:v>
      </x:c>
      <x:c r="W56" s="13" t="str">
        <x:v>vollständig</x:v>
      </x:c>
    </x:row>
    <x:row r="57">
      <x:c r="A57" s="13" t="str">
        <x:v>Deutsch n=25</x:v>
      </x:c>
      <x:c r="B57" s="13" t="str">
        <x:v>Hybrid_alpha_0.25</x:v>
      </x:c>
      <x:c r="C57" s="13" t="str">
        <x:v>q06</x:v>
      </x:c>
      <x:c r="D57" s="13" t="str">
        <x:v>prerequisite</x:v>
      </x:c>
      <x:c r="E57" s="13" t="str">
        <x:v>Welche Teilnahmevoraussetzungen hat P4 Mathematische Grundlagen der Computerlinguistik?</x:v>
      </x:c>
      <x:c r="F57" s="13" t="str">
        <x:v>module+section</x:v>
      </x:c>
      <x:c r="G57" s="13" t="str">
        <x:v>lmu_computerlinguistik_bsc_stand_2025-09-24.pdf</x:v>
      </x:c>
      <x:c r="H57" s="13" t="str">
        <x:v>P4</x:v>
      </x:c>
      <x:c r="I57" s="13" t="str">
        <x:v>Teilnahmevoraussetzung</x:v>
      </x:c>
      <x:c r="J57" s="13" t="str">
        <x:v>lmu_computerlinguistik_bsc_stand_2025-09-24.pdf</x:v>
      </x:c>
      <x:c r="K57" s="13" t="str">
        <x:v>P4</x:v>
      </x:c>
      <x:c r="L57" s="13" t="str">
        <x:v>Teilnahmevoraussetzung</x:v>
      </x:c>
      <x:c r="M57" s="13" t="n">
        <x:v>1</x:v>
      </x:c>
      <x:c r="N57" s="13" t="str">
        <x:v>lmu_computerlinguistik_bsc_stand_2025-09-24.pdf::P4::Teilnahmevoraussetzung</x:v>
      </x:c>
      <x:c r="O57" s="13" t="str">
        <x:v>lmu_computerlinguistik_bsc_stand_2025-09-24.pdf::P4::Teilnahmevoraussetzung | lmu_computerlinguistik_bsc_stand_2025-09-24.pdf::WP4::Teilnahmevoraussetzung | lmu_computerlinguistik_bsc_stand_2025-09-24.pdf::P4::header</x:v>
      </x:c>
      <x:c r="P57" s="13" t="n">
        <x:v>1</x:v>
      </x:c>
      <x:c r="Q57" s="13" t="n">
        <x:v>1</x:v>
      </x:c>
      <x:c r="R57" s="15" t="n">
        <x:v>0.3333333333333333</x:v>
      </x:c>
      <x:c r="S57" s="15" t="n">
        <x:v>1</x:v>
      </x:c>
      <x:c r="T57" s="15" t="n">
        <x:v>1</x:v>
      </x:c>
      <x:c r="U57" s="15" t="n">
        <x:v>1</x:v>
      </x:c>
      <x:c r="V57" s="15" t="n">
        <x:v>1</x:v>
      </x:c>
      <x:c r="W57" s="13" t="str">
        <x:v>vollständig</x:v>
      </x:c>
    </x:row>
    <x:row r="58">
      <x:c r="A58" s="13" t="str">
        <x:v>Deutsch n=25</x:v>
      </x:c>
      <x:c r="B58" s="13" t="str">
        <x:v>Hybrid_alpha_0.25</x:v>
      </x:c>
      <x:c r="C58" s="13" t="str">
        <x:v>q07</x:v>
      </x:c>
      <x:c r="D58" s="13" t="str">
        <x:v>broad_topic</x:v>
      </x:c>
      <x:c r="E58" s="13" t="str">
        <x:v>Welche Module behandeln Informationssuche und Suchmaschinen?</x:v>
      </x:c>
      <x:c r="F58" s="13" t="str">
        <x:v>module+section</x:v>
      </x:c>
      <x:c r="G58" s="13" t="str">
        <x:v>lmu_computerlinguistik_bsc_stand_2025-09-24.pdf</x:v>
      </x:c>
      <x:c r="H58" s="13" t="str">
        <x:v>WP3</x:v>
      </x:c>
      <x:c r="I58" s="13" t="str">
        <x:v>Inhalte</x:v>
      </x:c>
      <x:c r="J58" s="13" t="str">
        <x:v>lmu_computerlinguistik_bsc_stand_2025-09-24.pdf</x:v>
      </x:c>
      <x:c r="K58" s="13" t="str">
        <x:v>WP3</x:v>
      </x:c>
      <x:c r="L58" s="13" t="str">
        <x:v>Qualifikationsziele</x:v>
      </x:c>
      <x:c r="M58" s="13" t="n">
        <x:v>2</x:v>
      </x:c>
      <x:c r="N58" s="13" t="str">
        <x:v>lmu_computerlinguistik_bsc_stand_2025-09-24.pdf::WP3::Inhalte</x:v>
      </x:c>
      <x:c r="O58" s="13" t="str">
        <x:v>lmu_computerlinguistik_bsc_stand_2025-09-24.pdf::WP3::Qualifikationsziele | lmu_computerlinguistik_bsc_stand_2025-09-24.pdf::WP3::Inhalte | lmu_computerlinguistik_bsc_stand_2025-09-24.pdf::P7::Qualifikationsziele</x:v>
      </x:c>
      <x:c r="P58" s="13" t="n">
        <x:v>1</x:v>
      </x:c>
      <x:c r="Q58" s="13" t="n">
        <x:v>1</x:v>
      </x:c>
      <x:c r="R58" s="15" t="n">
        <x:v>0.3333333333333333</x:v>
      </x:c>
      <x:c r="S58" s="15" t="n">
        <x:v>1</x:v>
      </x:c>
      <x:c r="T58" s="15" t="n">
        <x:v>0.5</x:v>
      </x:c>
      <x:c r="U58" s="15" t="n">
        <x:v>0.6309297535714575</x:v>
      </x:c>
      <x:c r="V58" s="15"/>
      <x:c r="W58" s="13" t="str">
        <x:v>vollständig</x:v>
      </x:c>
    </x:row>
    <x:row r="59">
      <x:c r="A59" s="13" t="str">
        <x:v>Deutsch n=25</x:v>
      </x:c>
      <x:c r="B59" s="13" t="str">
        <x:v>Hybrid_alpha_0.25</x:v>
      </x:c>
      <x:c r="C59" s="13" t="str">
        <x:v>q08</x:v>
      </x:c>
      <x:c r="D59" s="13" t="str">
        <x:v>broad_topic</x:v>
      </x:c>
      <x:c r="E59" s="13" t="str">
        <x:v>Welches Modul behandelt reguläre Sprachen und endliche Automaten?</x:v>
      </x:c>
      <x:c r="F59" s="13" t="str">
        <x:v>module+section</x:v>
      </x:c>
      <x:c r="G59" s="13" t="str">
        <x:v>lmu_computerlinguistik_bsc_stand_2025-09-24.pdf</x:v>
      </x:c>
      <x:c r="H59" s="13" t="str">
        <x:v>P7</x:v>
      </x:c>
      <x:c r="I59" s="13" t="str">
        <x:v>Inhalte</x:v>
      </x:c>
      <x:c r="J59" s="13" t="str">
        <x:v>lmu_computerlinguistik_bsc_stand_2025-09-24.pdf</x:v>
      </x:c>
      <x:c r="K59" s="13" t="str">
        <x:v>P7</x:v>
      </x:c>
      <x:c r="L59" s="13" t="str">
        <x:v>Inhalte</x:v>
      </x:c>
      <x:c r="M59" s="13" t="n">
        <x:v>1</x:v>
      </x:c>
      <x:c r="N59" s="13" t="str">
        <x:v>lmu_computerlinguistik_bsc_stand_2025-09-24.pdf::P7::Inhalte</x:v>
      </x:c>
      <x:c r="O59" s="13" t="str">
        <x:v>lmu_computerlinguistik_bsc_stand_2025-09-24.pdf::P7::Inhalte | lmu_computerlinguistik_bsc_stand_2025-09-24.pdf::P6::Unterrichtssprache | lmu_computerlinguistik_bsc_stand_2025-09-24.pdf::P2::Inhalte</x:v>
      </x:c>
      <x:c r="P59" s="13" t="n">
        <x:v>1</x:v>
      </x:c>
      <x:c r="Q59" s="13" t="n">
        <x:v>1</x:v>
      </x:c>
      <x:c r="R59" s="15" t="n">
        <x:v>0.3333333333333333</x:v>
      </x:c>
      <x:c r="S59" s="15" t="n">
        <x:v>1</x:v>
      </x:c>
      <x:c r="T59" s="15" t="n">
        <x:v>1</x:v>
      </x:c>
      <x:c r="U59" s="15" t="n">
        <x:v>1</x:v>
      </x:c>
      <x:c r="V59" s="15" t="n">
        <x:v>1</x:v>
      </x:c>
      <x:c r="W59" s="13" t="str">
        <x:v>vollständig</x:v>
      </x:c>
    </x:row>
    <x:row r="60">
      <x:c r="A60" s="13" t="str">
        <x:v>Deutsch n=25</x:v>
      </x:c>
      <x:c r="B60" s="13" t="str">
        <x:v>Hybrid_alpha_0.25</x:v>
      </x:c>
      <x:c r="C60" s="13" t="str">
        <x:v>q09</x:v>
      </x:c>
      <x:c r="D60" s="13" t="str">
        <x:v>language</x:v>
      </x:c>
      <x:c r="E60" s="13" t="str">
        <x:v>Welche Unterrichtssprache hat P1 Einführung in die Programmierung?</x:v>
      </x:c>
      <x:c r="F60" s="13" t="str">
        <x:v>module+section</x:v>
      </x:c>
      <x:c r="G60" s="13" t="str">
        <x:v>lmu_computerlinguistik_bsc_stand_2025-09-24.pdf</x:v>
      </x:c>
      <x:c r="H60" s="13" t="str">
        <x:v>P1</x:v>
      </x:c>
      <x:c r="I60" s="13" t="str">
        <x:v>Unterrichtssprache</x:v>
      </x:c>
      <x:c r="J60" s="13" t="str">
        <x:v>lmu_computerlinguistik_bsc_stand_2025-09-24.pdf</x:v>
      </x:c>
      <x:c r="K60" s="13" t="str">
        <x:v>P1</x:v>
      </x:c>
      <x:c r="L60" s="13" t="str">
        <x:v>Unterrichtssprache</x:v>
      </x:c>
      <x:c r="M60" s="13" t="n">
        <x:v>1</x:v>
      </x:c>
      <x:c r="N60" s="13" t="str">
        <x:v>lmu_computerlinguistik_bsc_stand_2025-09-24.pdf::P1::Unterrichtssprache</x:v>
      </x:c>
      <x:c r="O60" s="13" t="str">
        <x:v>lmu_computerlinguistik_bsc_stand_2025-09-24.pdf::P1::Unterrichtssprache | lmu_computerlinguistik_bsc_stand_2025-09-24.pdf::P2::Unterrichtssprache | lmu_computerlinguistik_bsc_stand_2025-09-24.pdf::P6::Unterrichtssprache</x:v>
      </x:c>
      <x:c r="P60" s="13" t="n">
        <x:v>1</x:v>
      </x:c>
      <x:c r="Q60" s="13" t="n">
        <x:v>1</x:v>
      </x:c>
      <x:c r="R60" s="15" t="n">
        <x:v>0.3333333333333333</x:v>
      </x:c>
      <x:c r="S60" s="15" t="n">
        <x:v>1</x:v>
      </x:c>
      <x:c r="T60" s="15" t="n">
        <x:v>1</x:v>
      </x:c>
      <x:c r="U60" s="15" t="n">
        <x:v>1</x:v>
      </x:c>
      <x:c r="V60" s="15" t="n">
        <x:v>1</x:v>
      </x:c>
      <x:c r="W60" s="13" t="str">
        <x:v>vollständig</x:v>
      </x:c>
    </x:row>
    <x:row r="61">
      <x:c r="A61" s="13" t="str">
        <x:v>Deutsch n=25</x:v>
      </x:c>
      <x:c r="B61" s="13" t="str">
        <x:v>Hybrid_alpha_0.25</x:v>
      </x:c>
      <x:c r="C61" s="13" t="str">
        <x:v>q10</x:v>
      </x:c>
      <x:c r="D61" s="13" t="str">
        <x:v>broad_topic</x:v>
      </x:c>
      <x:c r="E61" s="13" t="str">
        <x:v>Welche Wahlpflichtmodule gibt es zu Morphologie und Lexikographie?</x:v>
      </x:c>
      <x:c r="F61" s="13" t="str">
        <x:v>module+section</x:v>
      </x:c>
      <x:c r="G61" s="13" t="str">
        <x:v>lmu_computerlinguistik_bsc_stand_2025-09-24.pdf</x:v>
      </x:c>
      <x:c r="H61" s="13" t="str">
        <x:v>WP1</x:v>
      </x:c>
      <x:c r="I61" s="13" t="str">
        <x:v>Inhalte;header</x:v>
      </x:c>
      <x:c r="J61" s="13" t="str">
        <x:v>lmu_computerlinguistik_bsc_stand_2025-09-24.pdf</x:v>
      </x:c>
      <x:c r="K61" s="13" t="str">
        <x:v>WP1</x:v>
      </x:c>
      <x:c r="L61" s="13" t="str">
        <x:v>Wahlpflichtregelungen</x:v>
      </x:c>
      <x:c r="M61" s="13" t="n">
        <x:v>2</x:v>
      </x:c>
      <x:c r="N61" s="13" t="str">
        <x:v>lmu_computerlinguistik_bsc_stand_2025-09-24.pdf::WP1::Inhalte | lmu_computerlinguistik_bsc_stand_2025-09-24.pdf::WP1::header</x:v>
      </x:c>
      <x:c r="O61" s="13" t="str">
        <x:v>lmu_computerlinguistik_bsc_stand_2025-09-24.pdf::WP1::Wahlpflichtregelungen | lmu_computerlinguistik_bsc_stand_2025-09-24.pdf::WP1::header | lmu_computerlinguistik_bsc_stand_2025-09-24.pdf::WP1::Qualifikationsziele</x:v>
      </x:c>
      <x:c r="P61" s="13" t="n">
        <x:v>2</x:v>
      </x:c>
      <x:c r="Q61" s="13" t="n">
        <x:v>1</x:v>
      </x:c>
      <x:c r="R61" s="15" t="n">
        <x:v>0.3333333333333333</x:v>
      </x:c>
      <x:c r="S61" s="15" t="n">
        <x:v>0.5</x:v>
      </x:c>
      <x:c r="T61" s="15" t="n">
        <x:v>0.5</x:v>
      </x:c>
      <x:c r="U61" s="15" t="n">
        <x:v>0.38685280723454163</x:v>
      </x:c>
      <x:c r="V61" s="15"/>
      <x:c r="W61" s="13" t="str">
        <x:v>teilweise</x:v>
      </x:c>
    </x:row>
    <x:row r="62">
      <x:c r="A62" s="13" t="str">
        <x:v>Deutsch n=25</x:v>
      </x:c>
      <x:c r="B62" s="13" t="str">
        <x:v>Hybrid_alpha_0.25</x:v>
      </x:c>
      <x:c r="C62" s="13" t="str">
        <x:v>q11</x:v>
      </x:c>
      <x:c r="D62" s="13" t="str">
        <x:v>numerical</x:v>
      </x:c>
      <x:c r="E62" s="13" t="str">
        <x:v>Wie viele ECTS hat P13 Abschlussmodul?</x:v>
      </x:c>
      <x:c r="F62" s="13" t="str">
        <x:v>module+section</x:v>
      </x:c>
      <x:c r="G62" s="13" t="str">
        <x:v>lmu_computerlinguistik_bsc_stand_2025-09-24.pdf</x:v>
      </x:c>
      <x:c r="H62" s="13" t="str">
        <x:v>P13</x:v>
      </x:c>
      <x:c r="I62" s="13" t="str">
        <x:v>Zugeordnete Modulteile</x:v>
      </x:c>
      <x:c r="J62" s="13" t="str">
        <x:v>lmu_computerlinguistik_bsc_stand_2025-09-24.pdf</x:v>
      </x:c>
      <x:c r="K62" s="13" t="str">
        <x:v>P13</x:v>
      </x:c>
      <x:c r="L62" s="13" t="str">
        <x:v>Zugeordnete Modulteile</x:v>
      </x:c>
      <x:c r="M62" s="13" t="n">
        <x:v>1</x:v>
      </x:c>
      <x:c r="N62" s="13" t="str">
        <x:v>lmu_computerlinguistik_bsc_stand_2025-09-24.pdf::P13::Zugeordnete Modulteile</x:v>
      </x:c>
      <x:c r="O62" s="13" t="str">
        <x:v>lmu_computerlinguistik_bsc_stand_2025-09-24.pdf::P13::Zugeordnete Modulteile | lmu_computerlinguistik_bsc_stand_2025-09-24.pdf::P12::Zugeordnete Modulteile | lmu_computerlinguistik_bsc_stand_2025-09-24.pdf::P11::Zugeordnete Modulteile</x:v>
      </x:c>
      <x:c r="P62" s="13" t="n">
        <x:v>1</x:v>
      </x:c>
      <x:c r="Q62" s="13" t="n">
        <x:v>1</x:v>
      </x:c>
      <x:c r="R62" s="15" t="n">
        <x:v>0.3333333333333333</x:v>
      </x:c>
      <x:c r="S62" s="15" t="n">
        <x:v>1</x:v>
      </x:c>
      <x:c r="T62" s="15" t="n">
        <x:v>1</x:v>
      </x:c>
      <x:c r="U62" s="15" t="n">
        <x:v>1</x:v>
      </x:c>
      <x:c r="V62" s="15" t="n">
        <x:v>1</x:v>
      </x:c>
      <x:c r="W62" s="13" t="str">
        <x:v>vollständig</x:v>
      </x:c>
    </x:row>
    <x:row r="63">
      <x:c r="A63" s="13" t="str">
        <x:v>Deutsch n=25</x:v>
      </x:c>
      <x:c r="B63" s="13" t="str">
        <x:v>Hybrid_alpha_0.25</x:v>
      </x:c>
      <x:c r="C63" s="13" t="str">
        <x:v>q12</x:v>
      </x:c>
      <x:c r="D63" s="13" t="str">
        <x:v>exam</x:v>
      </x:c>
      <x:c r="E63" s="13" t="str">
        <x:v>Welche Prüfungsform hat P13 Abschlussmodul?</x:v>
      </x:c>
      <x:c r="F63" s="13" t="str">
        <x:v>module+section</x:v>
      </x:c>
      <x:c r="G63" s="13" t="str">
        <x:v>lmu_computerlinguistik_bsc_stand_2025-09-24.pdf</x:v>
      </x:c>
      <x:c r="H63" s="13" t="str">
        <x:v>P13</x:v>
      </x:c>
      <x:c r="I63" s="13" t="str">
        <x:v>Form der Modulprüfung</x:v>
      </x:c>
      <x:c r="J63" s="13" t="str">
        <x:v>lmu_computerlinguistik_bsc_stand_2025-09-24.pdf</x:v>
      </x:c>
      <x:c r="K63" s="13" t="str">
        <x:v>P5</x:v>
      </x:c>
      <x:c r="L63" s="13" t="str">
        <x:v>Form der Modulprüfung</x:v>
      </x:c>
      <x:c r="M63" s="13"/>
      <x:c r="N63" s="13" t="str">
        <x:v>lmu_computerlinguistik_bsc_stand_2025-09-24.pdf::P13::Form der Modulprüfung</x:v>
      </x:c>
      <x:c r="O63" s="13" t="str">
        <x:v>lmu_computerlinguistik_bsc_stand_2025-09-24.pdf::P5::Form der Modulprüfung | lmu_computerlinguistik_bsc_stand_2025-09-24.pdf::P7::Form der Modulprüfung | lmu_computerlinguistik_bsc_stand_2025-09-24.pdf::P6::Form der Modulprüfung</x:v>
      </x:c>
      <x:c r="P63" s="13" t="n">
        <x:v>1</x:v>
      </x:c>
      <x:c r="Q63" s="13"/>
      <x:c r="R63" s="15"/>
      <x:c r="S63" s="15"/>
      <x:c r="T63" s="15"/>
      <x:c r="U63" s="15"/>
      <x:c r="V63" s="15"/>
      <x:c r="W63" s="13" t="str">
        <x:v>nicht gefunden</x:v>
      </x:c>
    </x:row>
    <x:row r="64">
      <x:c r="A64" s="13" t="str">
        <x:v>Deutsch n=25</x:v>
      </x:c>
      <x:c r="B64" s="13" t="str">
        <x:v>Hybrid_alpha_0.25</x:v>
      </x:c>
      <x:c r="C64" s="13" t="str">
        <x:v>q13</x:v>
      </x:c>
      <x:c r="D64" s="13" t="str">
        <x:v>responsible_person</x:v>
      </x:c>
      <x:c r="E64" s="13" t="str">
        <x:v>Wer ist für WP4 Angewandtes Programmieren in der Computerlinguistik verantwortlich?</x:v>
      </x:c>
      <x:c r="F64" s="13" t="str">
        <x:v>module+section</x:v>
      </x:c>
      <x:c r="G64" s="13" t="str">
        <x:v>lmu_computerlinguistik_bsc_stand_2025-09-24.pdf</x:v>
      </x:c>
      <x:c r="H64" s="13" t="str">
        <x:v>WP4</x:v>
      </x:c>
      <x:c r="I64" s="13" t="str">
        <x:v>Modulverantwortliche/r</x:v>
      </x:c>
      <x:c r="J64" s="13" t="str">
        <x:v>lmu_computerlinguistik_bsc_stand_2025-09-24.pdf</x:v>
      </x:c>
      <x:c r="K64" s="13" t="str">
        <x:v>WP4</x:v>
      </x:c>
      <x:c r="L64" s="13" t="str">
        <x:v>Modulverantwortliche/r</x:v>
      </x:c>
      <x:c r="M64" s="13" t="n">
        <x:v>1</x:v>
      </x:c>
      <x:c r="N64" s="13" t="str">
        <x:v>lmu_computerlinguistik_bsc_stand_2025-09-24.pdf::WP4::Modulverantwortliche/r</x:v>
      </x:c>
      <x:c r="O64" s="13" t="str">
        <x:v>lmu_computerlinguistik_bsc_stand_2025-09-24.pdf::WP4::Modulverantwortliche/r | lmu_computerlinguistik_bsc_stand_2025-09-24.pdf::WP4::header | lmu_computerlinguistik_bsc_stand_2025-09-24.pdf::WP4::Teilnahmevoraussetzung</x:v>
      </x:c>
      <x:c r="P64" s="13" t="n">
        <x:v>1</x:v>
      </x:c>
      <x:c r="Q64" s="13" t="n">
        <x:v>1</x:v>
      </x:c>
      <x:c r="R64" s="15" t="n">
        <x:v>0.3333333333333333</x:v>
      </x:c>
      <x:c r="S64" s="15" t="n">
        <x:v>1</x:v>
      </x:c>
      <x:c r="T64" s="15" t="n">
        <x:v>1</x:v>
      </x:c>
      <x:c r="U64" s="15" t="n">
        <x:v>1</x:v>
      </x:c>
      <x:c r="V64" s="15" t="n">
        <x:v>1</x:v>
      </x:c>
      <x:c r="W64" s="13" t="str">
        <x:v>vollständig</x:v>
      </x:c>
    </x:row>
    <x:row r="65">
      <x:c r="A65" s="13" t="str">
        <x:v>Deutsch n=25</x:v>
      </x:c>
      <x:c r="B65" s="13" t="str">
        <x:v>Hybrid_alpha_0.25</x:v>
      </x:c>
      <x:c r="C65" s="13" t="str">
        <x:v>q14</x:v>
      </x:c>
      <x:c r="D65" s="13" t="str">
        <x:v>semester</x:v>
      </x:c>
      <x:c r="E65" s="13" t="str">
        <x:v>In welchem Semester wird P10 Statistische Methoden in der Sprachverarbeitung empfohlen?</x:v>
      </x:c>
      <x:c r="F65" s="13" t="str">
        <x:v>module+section</x:v>
      </x:c>
      <x:c r="G65" s="13" t="str">
        <x:v>lmu_computerlinguistik_bsc_stand_2025-09-24.pdf</x:v>
      </x:c>
      <x:c r="H65" s="13" t="str">
        <x:v>P10</x:v>
      </x:c>
      <x:c r="I65" s="13" t="str">
        <x:v>Zeitpunkt im Studienverlauf</x:v>
      </x:c>
      <x:c r="J65" s="13" t="str">
        <x:v>lmu_computerlinguistik_bsc_stand_2025-09-24.pdf</x:v>
      </x:c>
      <x:c r="K65" s="13" t="str">
        <x:v>P10</x:v>
      </x:c>
      <x:c r="L65" s="13" t="str">
        <x:v>Zeitpunkt im Studienverlauf</x:v>
      </x:c>
      <x:c r="M65" s="13" t="n">
        <x:v>1</x:v>
      </x:c>
      <x:c r="N65" s="13" t="str">
        <x:v>lmu_computerlinguistik_bsc_stand_2025-09-24.pdf::P10::Zeitpunkt im Studienverlauf</x:v>
      </x:c>
      <x:c r="O65" s="13" t="str">
        <x:v>lmu_computerlinguistik_bsc_stand_2025-09-24.pdf::P10::Zeitpunkt im Studienverlauf | lmu_computerlinguistik_bsc_stand_2025-09-24.pdf::WP4::Zeitpunkt im Studienverlauf | lmu_computerlinguistik_bsc_stand_2025-09-24.pdf::P1::Zeitpunkt im Studienverlauf</x:v>
      </x:c>
      <x:c r="P65" s="13" t="n">
        <x:v>1</x:v>
      </x:c>
      <x:c r="Q65" s="13" t="n">
        <x:v>1</x:v>
      </x:c>
      <x:c r="R65" s="15" t="n">
        <x:v>0.3333333333333333</x:v>
      </x:c>
      <x:c r="S65" s="15" t="n">
        <x:v>1</x:v>
      </x:c>
      <x:c r="T65" s="15" t="n">
        <x:v>1</x:v>
      </x:c>
      <x:c r="U65" s="15" t="n">
        <x:v>1</x:v>
      </x:c>
      <x:c r="V65" s="15" t="n">
        <x:v>1</x:v>
      </x:c>
      <x:c r="W65" s="13" t="str">
        <x:v>vollständig</x:v>
      </x:c>
    </x:row>
    <x:row r="66">
      <x:c r="A66" s="13" t="str">
        <x:v>Deutsch n=25</x:v>
      </x:c>
      <x:c r="B66" s="13" t="str">
        <x:v>Hybrid_alpha_0.25</x:v>
      </x:c>
      <x:c r="C66" s="13" t="str">
        <x:v>q15</x:v>
      </x:c>
      <x:c r="D66" s="13" t="str">
        <x:v>content</x:v>
      </x:c>
      <x:c r="E66" s="13" t="str">
        <x:v>Welche Inhalte behandelt P8 Computerlinguistische Anwendungen und Korpusbearbeitung?</x:v>
      </x:c>
      <x:c r="F66" s="13" t="str">
        <x:v>module+section</x:v>
      </x:c>
      <x:c r="G66" s="13" t="str">
        <x:v>lmu_computerlinguistik_bsc_stand_2025-09-24.pdf</x:v>
      </x:c>
      <x:c r="H66" s="13" t="str">
        <x:v>P8</x:v>
      </x:c>
      <x:c r="I66" s="13" t="str">
        <x:v>Inhalte</x:v>
      </x:c>
      <x:c r="J66" s="13" t="str">
        <x:v>lmu_computerlinguistik_bsc_stand_2025-09-24.pdf</x:v>
      </x:c>
      <x:c r="K66" s="13" t="str">
        <x:v>P8</x:v>
      </x:c>
      <x:c r="L66" s="13" t="str">
        <x:v>Inhalte</x:v>
      </x:c>
      <x:c r="M66" s="13" t="n">
        <x:v>1</x:v>
      </x:c>
      <x:c r="N66" s="13" t="str">
        <x:v>lmu_computerlinguistik_bsc_stand_2025-09-24.pdf::P8::Inhalte</x:v>
      </x:c>
      <x:c r="O66" s="13" t="str">
        <x:v>lmu_computerlinguistik_bsc_stand_2025-09-24.pdf::P8::Inhalte | lmu_computerlinguistik_bsc_stand_2025-09-24.pdf::P2::Inhalte | lmu_computerlinguistik_bsc_stand_2025-09-24.pdf::P12::Inhalte</x:v>
      </x:c>
      <x:c r="P66" s="13" t="n">
        <x:v>1</x:v>
      </x:c>
      <x:c r="Q66" s="13" t="n">
        <x:v>1</x:v>
      </x:c>
      <x:c r="R66" s="15" t="n">
        <x:v>0.3333333333333333</x:v>
      </x:c>
      <x:c r="S66" s="15" t="n">
        <x:v>1</x:v>
      </x:c>
      <x:c r="T66" s="15" t="n">
        <x:v>1</x:v>
      </x:c>
      <x:c r="U66" s="15" t="n">
        <x:v>1</x:v>
      </x:c>
      <x:c r="V66" s="15" t="n">
        <x:v>1</x:v>
      </x:c>
      <x:c r="W66" s="13" t="str">
        <x:v>vollständig</x:v>
      </x:c>
    </x:row>
    <x:row r="67">
      <x:c r="A67" s="13" t="str">
        <x:v>Deutsch n=25</x:v>
      </x:c>
      <x:c r="B67" s="13" t="str">
        <x:v>Hybrid_alpha_0.25</x:v>
      </x:c>
      <x:c r="C67" s="13" t="str">
        <x:v>q16</x:v>
      </x:c>
      <x:c r="D67" s="13" t="str">
        <x:v>exam</x:v>
      </x:c>
      <x:c r="E67" s="13" t="str">
        <x:v>Welche Prüfungsform hat P11 Informationsextraktion?</x:v>
      </x:c>
      <x:c r="F67" s="13" t="str">
        <x:v>module+section</x:v>
      </x:c>
      <x:c r="G67" s="13" t="str">
        <x:v>lmu_computerlinguistik_bsc_stand_2025-09-24.pdf</x:v>
      </x:c>
      <x:c r="H67" s="13" t="str">
        <x:v>P11</x:v>
      </x:c>
      <x:c r="I67" s="13" t="str">
        <x:v>Form der Modulprüfung</x:v>
      </x:c>
      <x:c r="J67" s="13" t="str">
        <x:v>lmu_computerlinguistik_bsc_stand_2025-09-24.pdf</x:v>
      </x:c>
      <x:c r="K67" s="13" t="str">
        <x:v>P11</x:v>
      </x:c>
      <x:c r="L67" s="13" t="str">
        <x:v>Form der Modulprüfung</x:v>
      </x:c>
      <x:c r="M67" s="13" t="n">
        <x:v>1</x:v>
      </x:c>
      <x:c r="N67" s="13" t="str">
        <x:v>lmu_computerlinguistik_bsc_stand_2025-09-24.pdf::P11::Form der Modulprüfung</x:v>
      </x:c>
      <x:c r="O67" s="13" t="str">
        <x:v>lmu_computerlinguistik_bsc_stand_2025-09-24.pdf::P11::Form der Modulprüfung | lmu_computerlinguistik_bsc_stand_2025-09-24.pdf::P5::Form der Modulprüfung | lmu_computerlinguistik_bsc_stand_2025-09-24.pdf::P7::Form der Modulprüfung</x:v>
      </x:c>
      <x:c r="P67" s="13" t="n">
        <x:v>1</x:v>
      </x:c>
      <x:c r="Q67" s="13" t="n">
        <x:v>1</x:v>
      </x:c>
      <x:c r="R67" s="15" t="n">
        <x:v>0.3333333333333333</x:v>
      </x:c>
      <x:c r="S67" s="15" t="n">
        <x:v>1</x:v>
      </x:c>
      <x:c r="T67" s="15" t="n">
        <x:v>1</x:v>
      </x:c>
      <x:c r="U67" s="15" t="n">
        <x:v>1</x:v>
      </x:c>
      <x:c r="V67" s="15" t="n">
        <x:v>1</x:v>
      </x:c>
      <x:c r="W67" s="13" t="str">
        <x:v>vollständig</x:v>
      </x:c>
    </x:row>
    <x:row r="68">
      <x:c r="A68" s="13" t="str">
        <x:v>Deutsch n=25</x:v>
      </x:c>
      <x:c r="B68" s="13" t="str">
        <x:v>Hybrid_alpha_0.25</x:v>
      </x:c>
      <x:c r="C68" s="13" t="str">
        <x:v>q17</x:v>
      </x:c>
      <x:c r="D68" s="13" t="str">
        <x:v>responsible_person</x:v>
      </x:c>
      <x:c r="E68" s="13" t="str">
        <x:v>Wer ist Modulverantwortlicher für P1 Einführung in die Programmierung?</x:v>
      </x:c>
      <x:c r="F68" s="13" t="str">
        <x:v>module+section</x:v>
      </x:c>
      <x:c r="G68" s="13" t="str">
        <x:v>lmu_computerlinguistik_bsc_stand_2025-09-24.pdf</x:v>
      </x:c>
      <x:c r="H68" s="13" t="str">
        <x:v>P1</x:v>
      </x:c>
      <x:c r="I68" s="13" t="str">
        <x:v>Modulverantwortliche/r</x:v>
      </x:c>
      <x:c r="J68" s="13" t="str">
        <x:v>lmu_computerlinguistik_bsc_stand_2025-09-24.pdf</x:v>
      </x:c>
      <x:c r="K68" s="13" t="str">
        <x:v>P1</x:v>
      </x:c>
      <x:c r="L68" s="13" t="str">
        <x:v>Modulverantwortliche/r</x:v>
      </x:c>
      <x:c r="M68" s="13" t="n">
        <x:v>1</x:v>
      </x:c>
      <x:c r="N68" s="13" t="str">
        <x:v>lmu_computerlinguistik_bsc_stand_2025-09-24.pdf::P1::Modulverantwortliche/r</x:v>
      </x:c>
      <x:c r="O68" s="13" t="str">
        <x:v>lmu_computerlinguistik_bsc_stand_2025-09-24.pdf::P1::Modulverantwortliche/r | lmu_computerlinguistik_bsc_stand_2025-09-24.pdf::P1::header | lmu_computerlinguistik_bsc_stand_2025-09-24.pdf::P2::Modulverantwortliche/r</x:v>
      </x:c>
      <x:c r="P68" s="13" t="n">
        <x:v>1</x:v>
      </x:c>
      <x:c r="Q68" s="13" t="n">
        <x:v>1</x:v>
      </x:c>
      <x:c r="R68" s="15" t="n">
        <x:v>0.3333333333333333</x:v>
      </x:c>
      <x:c r="S68" s="15" t="n">
        <x:v>1</x:v>
      </x:c>
      <x:c r="T68" s="15" t="n">
        <x:v>1</x:v>
      </x:c>
      <x:c r="U68" s="15" t="n">
        <x:v>1</x:v>
      </x:c>
      <x:c r="V68" s="15" t="n">
        <x:v>1</x:v>
      </x:c>
      <x:c r="W68" s="13" t="str">
        <x:v>vollständig</x:v>
      </x:c>
    </x:row>
    <x:row r="69">
      <x:c r="A69" s="13" t="str">
        <x:v>Deutsch n=25</x:v>
      </x:c>
      <x:c r="B69" s="13" t="str">
        <x:v>Hybrid_alpha_0.25</x:v>
      </x:c>
      <x:c r="C69" s="13" t="str">
        <x:v>q18</x:v>
      </x:c>
      <x:c r="D69" s="13" t="str">
        <x:v>prerequisite</x:v>
      </x:c>
      <x:c r="E69" s="13" t="str">
        <x:v>Welche Teilnahmevoraussetzung hat WP3 Information Retrieval?</x:v>
      </x:c>
      <x:c r="F69" s="13" t="str">
        <x:v>module+section</x:v>
      </x:c>
      <x:c r="G69" s="13" t="str">
        <x:v>lmu_computerlinguistik_bsc_stand_2025-09-24.pdf</x:v>
      </x:c>
      <x:c r="H69" s="13" t="str">
        <x:v>WP3</x:v>
      </x:c>
      <x:c r="I69" s="13" t="str">
        <x:v>Teilnahmevoraussetzung</x:v>
      </x:c>
      <x:c r="J69" s="13" t="str">
        <x:v>lmu_computerlinguistik_bsc_stand_2025-09-24.pdf</x:v>
      </x:c>
      <x:c r="K69" s="13" t="str">
        <x:v>WP3</x:v>
      </x:c>
      <x:c r="L69" s="13" t="str">
        <x:v>Teilnahmevoraussetzung</x:v>
      </x:c>
      <x:c r="M69" s="13" t="n">
        <x:v>1</x:v>
      </x:c>
      <x:c r="N69" s="13" t="str">
        <x:v>lmu_computerlinguistik_bsc_stand_2025-09-24.pdf::WP3::Teilnahmevoraussetzung</x:v>
      </x:c>
      <x:c r="O69" s="13" t="str">
        <x:v>lmu_computerlinguistik_bsc_stand_2025-09-24.pdf::WP3::Teilnahmevoraussetzung | lmu_computerlinguistik_bsc_stand_2025-09-24.pdf::P11::Teilnahmevoraussetzung | lmu_computerlinguistik_bsc_stand_2025-09-24.pdf::WP2::Teilnahmevoraussetzung</x:v>
      </x:c>
      <x:c r="P69" s="13" t="n">
        <x:v>1</x:v>
      </x:c>
      <x:c r="Q69" s="13" t="n">
        <x:v>1</x:v>
      </x:c>
      <x:c r="R69" s="15" t="n">
        <x:v>0.3333333333333333</x:v>
      </x:c>
      <x:c r="S69" s="15" t="n">
        <x:v>1</x:v>
      </x:c>
      <x:c r="T69" s="15" t="n">
        <x:v>1</x:v>
      </x:c>
      <x:c r="U69" s="15" t="n">
        <x:v>1</x:v>
      </x:c>
      <x:c r="V69" s="15" t="n">
        <x:v>1</x:v>
      </x:c>
      <x:c r="W69" s="13" t="str">
        <x:v>vollständig</x:v>
      </x:c>
    </x:row>
    <x:row r="70">
      <x:c r="A70" s="13" t="str">
        <x:v>Deutsch n=25</x:v>
      </x:c>
      <x:c r="B70" s="13" t="str">
        <x:v>Hybrid_alpha_0.25</x:v>
      </x:c>
      <x:c r="C70" s="13" t="str">
        <x:v>q19</x:v>
      </x:c>
      <x:c r="D70" s="13" t="str">
        <x:v>broad_topic</x:v>
      </x:c>
      <x:c r="E70" s="13" t="str">
        <x:v>Welche Module behandeln maschinelles Lernen?</x:v>
      </x:c>
      <x:c r="F70" s="13" t="str">
        <x:v>module+section</x:v>
      </x:c>
      <x:c r="G70" s="13" t="str">
        <x:v>lmu_computerlinguistik_bsc_stand_2025-09-24.pdf</x:v>
      </x:c>
      <x:c r="H70" s="13" t="str">
        <x:v>P8</x:v>
      </x:c>
      <x:c r="I70" s="13" t="str">
        <x:v>Inhalte</x:v>
      </x:c>
      <x:c r="J70" s="13" t="str">
        <x:v>lmu_computerlinguistik_bsc_stand_2025-09-24.pdf</x:v>
      </x:c>
      <x:c r="K70" s="13" t="str">
        <x:v>P7</x:v>
      </x:c>
      <x:c r="L70" s="13" t="str">
        <x:v>Qualifikationsziele</x:v>
      </x:c>
      <x:c r="M70" s="13"/>
      <x:c r="N70" s="13" t="str">
        <x:v>lmu_computerlinguistik_bsc_stand_2025-09-24.pdf::P8::Inhalte</x:v>
      </x:c>
      <x:c r="O70" s="13" t="str">
        <x:v>lmu_computerlinguistik_bsc_stand_2025-09-24.pdf::P7::Qualifikationsziele | lmu_computerlinguistik_bsc_stand_2025-09-24.pdf::WP4::Inhalte | lmu_computerlinguistik_bsc_stand_2025-09-24.pdf::P13::Englischer Modultitel</x:v>
      </x:c>
      <x:c r="P70" s="13" t="n">
        <x:v>1</x:v>
      </x:c>
      <x:c r="Q70" s="13"/>
      <x:c r="R70" s="15"/>
      <x:c r="S70" s="15"/>
      <x:c r="T70" s="15"/>
      <x:c r="U70" s="15"/>
      <x:c r="V70" s="15"/>
      <x:c r="W70" s="13" t="str">
        <x:v>nicht gefunden</x:v>
      </x:c>
    </x:row>
    <x:row r="71">
      <x:c r="A71" s="13" t="str">
        <x:v>Deutsch n=25</x:v>
      </x:c>
      <x:c r="B71" s="13" t="str">
        <x:v>Hybrid_alpha_0.25</x:v>
      </x:c>
      <x:c r="C71" s="13" t="str">
        <x:v>q20</x:v>
      </x:c>
      <x:c r="D71" s="13" t="str">
        <x:v>broad_topic</x:v>
      </x:c>
      <x:c r="E71" s="13" t="str">
        <x:v>In welchem Modul geht es um Syntax natürlicher Sprachen?</x:v>
      </x:c>
      <x:c r="F71" s="13" t="str">
        <x:v>module+section</x:v>
      </x:c>
      <x:c r="G71" s="13" t="str">
        <x:v>lmu_computerlinguistik_bsc_stand_2025-09-24.pdf</x:v>
      </x:c>
      <x:c r="H71" s="13" t="str">
        <x:v>P6</x:v>
      </x:c>
      <x:c r="I71" s="13" t="str">
        <x:v>Inhalte;header</x:v>
      </x:c>
      <x:c r="J71" s="13" t="str">
        <x:v>lmu_computerlinguistik_bsc_stand_2025-09-24.pdf</x:v>
      </x:c>
      <x:c r="K71" s="13" t="str">
        <x:v>P6</x:v>
      </x:c>
      <x:c r="L71" s="13" t="str">
        <x:v>Unterrichtssprache</x:v>
      </x:c>
      <x:c r="M71" s="13" t="n">
        <x:v>3</x:v>
      </x:c>
      <x:c r="N71" s="13" t="str">
        <x:v>lmu_computerlinguistik_bsc_stand_2025-09-24.pdf::P6::Inhalte | lmu_computerlinguistik_bsc_stand_2025-09-24.pdf::P6::header</x:v>
      </x:c>
      <x:c r="O71" s="13" t="str">
        <x:v>lmu_computerlinguistik_bsc_stand_2025-09-24.pdf::P6::Unterrichtssprache | lmu_computerlinguistik_bsc_stand_2025-09-24.pdf::P7::Unterrichtssprache | lmu_computerlinguistik_bsc_stand_2025-09-24.pdf::P6::header</x:v>
      </x:c>
      <x:c r="P71" s="13" t="n">
        <x:v>2</x:v>
      </x:c>
      <x:c r="Q71" s="13" t="n">
        <x:v>1</x:v>
      </x:c>
      <x:c r="R71" s="15" t="n">
        <x:v>0.3333333333333333</x:v>
      </x:c>
      <x:c r="S71" s="15" t="n">
        <x:v>0.5</x:v>
      </x:c>
      <x:c r="T71" s="15" t="n">
        <x:v>0.3333333333333333</x:v>
      </x:c>
      <x:c r="U71" s="15" t="n">
        <x:v>0.3065735963827292</x:v>
      </x:c>
      <x:c r="V71" s="15"/>
      <x:c r="W71" s="13" t="str">
        <x:v>teilweise</x:v>
      </x:c>
    </x:row>
    <x:row r="72">
      <x:c r="A72" s="13" t="str">
        <x:v>Deutsch n=25</x:v>
      </x:c>
      <x:c r="B72" s="13" t="str">
        <x:v>Hybrid_alpha_0.25</x:v>
      </x:c>
      <x:c r="C72" s="13" t="str">
        <x:v>q21</x:v>
      </x:c>
      <x:c r="D72" s="13" t="str">
        <x:v>exam</x:v>
      </x:c>
      <x:c r="E72" s="13" t="str">
        <x:v>Welche Prüfungsform hat WP1 Computergestützte Morphologie und Lexikographie?</x:v>
      </x:c>
      <x:c r="F72" s="13" t="str">
        <x:v>module+section</x:v>
      </x:c>
      <x:c r="G72" s="13" t="str">
        <x:v>lmu_computerlinguistik_bsc_stand_2025-09-24.pdf</x:v>
      </x:c>
      <x:c r="H72" s="13" t="str">
        <x:v>WP1</x:v>
      </x:c>
      <x:c r="I72" s="13" t="str">
        <x:v>Form der Modulprüfung</x:v>
      </x:c>
      <x:c r="J72" s="13" t="str">
        <x:v>lmu_computerlinguistik_bsc_stand_2025-09-24.pdf</x:v>
      </x:c>
      <x:c r="K72" s="13" t="str">
        <x:v>WP1</x:v>
      </x:c>
      <x:c r="L72" s="13" t="str">
        <x:v>Form der Modulprüfung</x:v>
      </x:c>
      <x:c r="M72" s="13" t="n">
        <x:v>1</x:v>
      </x:c>
      <x:c r="N72" s="13" t="str">
        <x:v>lmu_computerlinguistik_bsc_stand_2025-09-24.pdf::WP1::Form der Modulprüfung</x:v>
      </x:c>
      <x:c r="O72" s="13" t="str">
        <x:v>lmu_computerlinguistik_bsc_stand_2025-09-24.pdf::WP1::Form der Modulprüfung | lmu_computerlinguistik_bsc_stand_2025-09-24.pdf::P5::Form der Modulprüfung | lmu_computerlinguistik_bsc_stand_2025-09-24.pdf::P7::Form der Modulprüfung</x:v>
      </x:c>
      <x:c r="P72" s="13" t="n">
        <x:v>1</x:v>
      </x:c>
      <x:c r="Q72" s="13" t="n">
        <x:v>1</x:v>
      </x:c>
      <x:c r="R72" s="15" t="n">
        <x:v>0.3333333333333333</x:v>
      </x:c>
      <x:c r="S72" s="15" t="n">
        <x:v>1</x:v>
      </x:c>
      <x:c r="T72" s="15" t="n">
        <x:v>1</x:v>
      </x:c>
      <x:c r="U72" s="15" t="n">
        <x:v>1</x:v>
      </x:c>
      <x:c r="V72" s="15" t="n">
        <x:v>1</x:v>
      </x:c>
      <x:c r="W72" s="13" t="str">
        <x:v>vollständig</x:v>
      </x:c>
    </x:row>
    <x:row r="73">
      <x:c r="A73" s="13" t="str">
        <x:v>Deutsch n=25</x:v>
      </x:c>
      <x:c r="B73" s="13" t="str">
        <x:v>Hybrid_alpha_0.25</x:v>
      </x:c>
      <x:c r="C73" s="13" t="str">
        <x:v>q22</x:v>
      </x:c>
      <x:c r="D73" s="13" t="str">
        <x:v>responsible_person</x:v>
      </x:c>
      <x:c r="E73" s="13" t="str">
        <x:v>Wer ist Modulverantwortlicher für WP2 Höhere Programmiersprache?</x:v>
      </x:c>
      <x:c r="F73" s="13" t="str">
        <x:v>module+section</x:v>
      </x:c>
      <x:c r="G73" s="13" t="str">
        <x:v>lmu_computerlinguistik_bsc_stand_2025-09-24.pdf</x:v>
      </x:c>
      <x:c r="H73" s="13" t="str">
        <x:v>WP2</x:v>
      </x:c>
      <x:c r="I73" s="13" t="str">
        <x:v>Modulverantwortliche/r</x:v>
      </x:c>
      <x:c r="J73" s="13" t="str">
        <x:v>lmu_computerlinguistik_bsc_stand_2025-09-24.pdf</x:v>
      </x:c>
      <x:c r="K73" s="13" t="str">
        <x:v>WP2</x:v>
      </x:c>
      <x:c r="L73" s="13" t="str">
        <x:v>Unterrichtssprache</x:v>
      </x:c>
      <x:c r="M73" s="13" t="n">
        <x:v>2</x:v>
      </x:c>
      <x:c r="N73" s="13" t="str">
        <x:v>lmu_computerlinguistik_bsc_stand_2025-09-24.pdf::WP2::Modulverantwortliche/r</x:v>
      </x:c>
      <x:c r="O73" s="13" t="str">
        <x:v>lmu_computerlinguistik_bsc_stand_2025-09-24.pdf::WP2::Unterrichtssprache | lmu_computerlinguistik_bsc_stand_2025-09-24.pdf::WP2::Modulverantwortliche/r | lmu_computerlinguistik_bsc_stand_2025-09-24.pdf::P5::Unterrichtssprache</x:v>
      </x:c>
      <x:c r="P73" s="13" t="n">
        <x:v>1</x:v>
      </x:c>
      <x:c r="Q73" s="13" t="n">
        <x:v>1</x:v>
      </x:c>
      <x:c r="R73" s="15" t="n">
        <x:v>0.3333333333333333</x:v>
      </x:c>
      <x:c r="S73" s="15" t="n">
        <x:v>1</x:v>
      </x:c>
      <x:c r="T73" s="15" t="n">
        <x:v>0.5</x:v>
      </x:c>
      <x:c r="U73" s="15" t="n">
        <x:v>0.6309297535714575</x:v>
      </x:c>
      <x:c r="V73" s="15"/>
      <x:c r="W73" s="13" t="str">
        <x:v>vollständig</x:v>
      </x:c>
    </x:row>
    <x:row r="74">
      <x:c r="A74" s="13" t="str">
        <x:v>Deutsch n=25</x:v>
      </x:c>
      <x:c r="B74" s="13" t="str">
        <x:v>Hybrid_alpha_0.25</x:v>
      </x:c>
      <x:c r="C74" s="13" t="str">
        <x:v>q23</x:v>
      </x:c>
      <x:c r="D74" s="13" t="str">
        <x:v>numerical</x:v>
      </x:c>
      <x:c r="E74" s="13" t="str">
        <x:v>Wie viele ECTS hat P4 Mathematische Grundlagen der Computerlinguistik?</x:v>
      </x:c>
      <x:c r="F74" s="13" t="str">
        <x:v>module+section</x:v>
      </x:c>
      <x:c r="G74" s="13" t="str">
        <x:v>lmu_computerlinguistik_bsc_stand_2025-09-24.pdf</x:v>
      </x:c>
      <x:c r="H74" s="13" t="str">
        <x:v>P4</x:v>
      </x:c>
      <x:c r="I74" s="13" t="str">
        <x:v>Zugeordnete Modulteile</x:v>
      </x:c>
      <x:c r="J74" s="13" t="str">
        <x:v>lmu_computerlinguistik_bsc_stand_2025-09-24.pdf</x:v>
      </x:c>
      <x:c r="K74" s="13" t="str">
        <x:v>P4</x:v>
      </x:c>
      <x:c r="L74" s="13" t="str">
        <x:v>Zugeordnete Modulteile</x:v>
      </x:c>
      <x:c r="M74" s="13" t="n">
        <x:v>1</x:v>
      </x:c>
      <x:c r="N74" s="13" t="str">
        <x:v>lmu_computerlinguistik_bsc_stand_2025-09-24.pdf::P4::Zugeordnete Modulteile</x:v>
      </x:c>
      <x:c r="O74" s="13" t="str">
        <x:v>lmu_computerlinguistik_bsc_stand_2025-09-24.pdf::P4::Zugeordnete Modulteile | lmu_computerlinguistik_bsc_stand_2025-09-24.pdf::P4::Voraussetzung für die Vergabe | lmu_computerlinguistik_bsc_stand_2025-09-24.pdf::P13::Zugeordnete Modulteile</x:v>
      </x:c>
      <x:c r="P74" s="13" t="n">
        <x:v>1</x:v>
      </x:c>
      <x:c r="Q74" s="13" t="n">
        <x:v>1</x:v>
      </x:c>
      <x:c r="R74" s="15" t="n">
        <x:v>0.3333333333333333</x:v>
      </x:c>
      <x:c r="S74" s="15" t="n">
        <x:v>1</x:v>
      </x:c>
      <x:c r="T74" s="15" t="n">
        <x:v>1</x:v>
      </x:c>
      <x:c r="U74" s="15" t="n">
        <x:v>1</x:v>
      </x:c>
      <x:c r="V74" s="15" t="n">
        <x:v>1</x:v>
      </x:c>
      <x:c r="W74" s="13" t="str">
        <x:v>vollständig</x:v>
      </x:c>
    </x:row>
    <x:row r="75">
      <x:c r="A75" s="13" t="str">
        <x:v>Deutsch n=25</x:v>
      </x:c>
      <x:c r="B75" s="13" t="str">
        <x:v>Hybrid_alpha_0.25</x:v>
      </x:c>
      <x:c r="C75" s="13" t="str">
        <x:v>q24</x:v>
      </x:c>
      <x:c r="D75" s="13" t="str">
        <x:v>content</x:v>
      </x:c>
      <x:c r="E75" s="13" t="str">
        <x:v>Welche Inhalte behandelt P5 Symbolische Programmiersprache?</x:v>
      </x:c>
      <x:c r="F75" s="13" t="str">
        <x:v>module+section</x:v>
      </x:c>
      <x:c r="G75" s="13" t="str">
        <x:v>lmu_computerlinguistik_bsc_stand_2025-09-24.pdf</x:v>
      </x:c>
      <x:c r="H75" s="13" t="str">
        <x:v>P5</x:v>
      </x:c>
      <x:c r="I75" s="13" t="str">
        <x:v>Inhalte</x:v>
      </x:c>
      <x:c r="J75" s="13" t="str">
        <x:v>lmu_computerlinguistik_bsc_stand_2025-09-24.pdf</x:v>
      </x:c>
      <x:c r="K75" s="13" t="str">
        <x:v>P5</x:v>
      </x:c>
      <x:c r="L75" s="13" t="str">
        <x:v>Unterrichtssprache</x:v>
      </x:c>
      <x:c r="M75" s="13" t="n">
        <x:v>2</x:v>
      </x:c>
      <x:c r="N75" s="13" t="str">
        <x:v>lmu_computerlinguistik_bsc_stand_2025-09-24.pdf::P5::Inhalte</x:v>
      </x:c>
      <x:c r="O75" s="13" t="str">
        <x:v>lmu_computerlinguistik_bsc_stand_2025-09-24.pdf::P5::Unterrichtssprache | lmu_computerlinguistik_bsc_stand_2025-09-24.pdf::P5::Inhalte | lmu_computerlinguistik_bsc_stand_2025-09-24.pdf::P3::Inhalte</x:v>
      </x:c>
      <x:c r="P75" s="13" t="n">
        <x:v>1</x:v>
      </x:c>
      <x:c r="Q75" s="13" t="n">
        <x:v>1</x:v>
      </x:c>
      <x:c r="R75" s="15" t="n">
        <x:v>0.3333333333333333</x:v>
      </x:c>
      <x:c r="S75" s="15" t="n">
        <x:v>1</x:v>
      </x:c>
      <x:c r="T75" s="15" t="n">
        <x:v>0.5</x:v>
      </x:c>
      <x:c r="U75" s="15" t="n">
        <x:v>0.6309297535714575</x:v>
      </x:c>
      <x:c r="V75" s="15"/>
      <x:c r="W75" s="13" t="str">
        <x:v>vollständig</x:v>
      </x:c>
    </x:row>
    <x:row r="76">
      <x:c r="A76" s="13" t="str">
        <x:v>Deutsch n=25</x:v>
      </x:c>
      <x:c r="B76" s="13" t="str">
        <x:v>Hybrid_alpha_0.25</x:v>
      </x:c>
      <x:c r="C76" s="13" t="str">
        <x:v>q25</x:v>
      </x:c>
      <x:c r="D76" s="13" t="str">
        <x:v>language</x:v>
      </x:c>
      <x:c r="E76" s="13" t="str">
        <x:v>Welche Unterrichtssprache hat WP3 Information Retrieval?</x:v>
      </x:c>
      <x:c r="F76" s="13" t="str">
        <x:v>module+section</x:v>
      </x:c>
      <x:c r="G76" s="13" t="str">
        <x:v>lmu_computerlinguistik_bsc_stand_2025-09-24.pdf</x:v>
      </x:c>
      <x:c r="H76" s="13" t="str">
        <x:v>WP3</x:v>
      </x:c>
      <x:c r="I76" s="13" t="str">
        <x:v>Unterrichtssprache</x:v>
      </x:c>
      <x:c r="J76" s="13" t="str">
        <x:v>lmu_computerlinguistik_bsc_stand_2025-09-24.pdf</x:v>
      </x:c>
      <x:c r="K76" s="13" t="str">
        <x:v>WP3</x:v>
      </x:c>
      <x:c r="L76" s="13" t="str">
        <x:v>Unterrichtssprache</x:v>
      </x:c>
      <x:c r="M76" s="13" t="n">
        <x:v>1</x:v>
      </x:c>
      <x:c r="N76" s="13" t="str">
        <x:v>lmu_computerlinguistik_bsc_stand_2025-09-24.pdf::WP3::Unterrichtssprache</x:v>
      </x:c>
      <x:c r="O76" s="13" t="str">
        <x:v>lmu_computerlinguistik_bsc_stand_2025-09-24.pdf::WP3::Unterrichtssprache | lmu_computerlinguistik_bsc_stand_2025-09-24.pdf::WP2::Unterrichtssprache | lmu_computerlinguistik_bsc_stand_2025-09-24.pdf::WP4::Unterrichtssprache</x:v>
      </x:c>
      <x:c r="P76" s="13" t="n">
        <x:v>1</x:v>
      </x:c>
      <x:c r="Q76" s="13" t="n">
        <x:v>1</x:v>
      </x:c>
      <x:c r="R76" s="15" t="n">
        <x:v>0.3333333333333333</x:v>
      </x:c>
      <x:c r="S76" s="15" t="n">
        <x:v>1</x:v>
      </x:c>
      <x:c r="T76" s="15" t="n">
        <x:v>1</x:v>
      </x:c>
      <x:c r="U76" s="15" t="n">
        <x:v>1</x:v>
      </x:c>
      <x:c r="V76" s="15" t="n">
        <x:v>1</x:v>
      </x:c>
      <x:c r="W76" s="13" t="str">
        <x:v>vollständig</x:v>
      </x:c>
    </x:row>
    <x:row r="77">
      <x:c r="A77" s="13" t="str">
        <x:v>Deutsch n=25</x:v>
      </x:c>
      <x:c r="B77" s="13" t="str">
        <x:v>Hybrid_alpha_0.50</x:v>
      </x:c>
      <x:c r="C77" s="13" t="str">
        <x:v>q01</x:v>
      </x:c>
      <x:c r="D77" s="13" t="str">
        <x:v>numerical</x:v>
      </x:c>
      <x:c r="E77" s="13" t="str">
        <x:v>Wie viele ECTS hat WP3 Information Retrieval?</x:v>
      </x:c>
      <x:c r="F77" s="13" t="str">
        <x:v>module+section</x:v>
      </x:c>
      <x:c r="G77" s="13" t="str">
        <x:v>lmu_computerlinguistik_bsc_stand_2025-09-24.pdf</x:v>
      </x:c>
      <x:c r="H77" s="13" t="str">
        <x:v>WP3</x:v>
      </x:c>
      <x:c r="I77" s="13" t="str">
        <x:v>Zugeordnete Modulteile</x:v>
      </x:c>
      <x:c r="J77" s="13" t="str">
        <x:v>lmu_computerlinguistik_bsc_stand_2025-09-24.pdf</x:v>
      </x:c>
      <x:c r="K77" s="13" t="str">
        <x:v>WP3</x:v>
      </x:c>
      <x:c r="L77" s="13" t="str">
        <x:v>Zugeordnete Modulteile</x:v>
      </x:c>
      <x:c r="M77" s="13" t="n">
        <x:v>1</x:v>
      </x:c>
      <x:c r="N77" s="13" t="str">
        <x:v>lmu_computerlinguistik_bsc_stand_2025-09-24.pdf::WP3::Zugeordnete Modulteile</x:v>
      </x:c>
      <x:c r="O77" s="13" t="str">
        <x:v>lmu_computerlinguistik_bsc_stand_2025-09-24.pdf::WP3::Zugeordnete Modulteile | lmu_computerlinguistik_bsc_stand_2025-09-24.pdf::WP3::Voraussetzung für die Vergabe | lmu_computerlinguistik_bsc_stand_2025-09-24.pdf::WP3::Art der Bewertung</x:v>
      </x:c>
      <x:c r="P77" s="13" t="n">
        <x:v>1</x:v>
      </x:c>
      <x:c r="Q77" s="13" t="n">
        <x:v>1</x:v>
      </x:c>
      <x:c r="R77" s="15" t="n">
        <x:v>0.3333333333333333</x:v>
      </x:c>
      <x:c r="S77" s="15" t="n">
        <x:v>1</x:v>
      </x:c>
      <x:c r="T77" s="15" t="n">
        <x:v>1</x:v>
      </x:c>
      <x:c r="U77" s="15" t="n">
        <x:v>1</x:v>
      </x:c>
      <x:c r="V77" s="15" t="n">
        <x:v>1</x:v>
      </x:c>
      <x:c r="W77" s="13" t="str">
        <x:v>vollständig</x:v>
      </x:c>
    </x:row>
    <x:row r="78">
      <x:c r="A78" s="13" t="str">
        <x:v>Deutsch n=25</x:v>
      </x:c>
      <x:c r="B78" s="13" t="str">
        <x:v>Hybrid_alpha_0.50</x:v>
      </x:c>
      <x:c r="C78" s="13" t="str">
        <x:v>q02</x:v>
      </x:c>
      <x:c r="D78" s="13" t="str">
        <x:v>exam</x:v>
      </x:c>
      <x:c r="E78" s="13" t="str">
        <x:v>Welche Prüfungsform hat WP3 Information Retrieval?</x:v>
      </x:c>
      <x:c r="F78" s="13" t="str">
        <x:v>module+section</x:v>
      </x:c>
      <x:c r="G78" s="13" t="str">
        <x:v>lmu_computerlinguistik_bsc_stand_2025-09-24.pdf</x:v>
      </x:c>
      <x:c r="H78" s="13" t="str">
        <x:v>WP3</x:v>
      </x:c>
      <x:c r="I78" s="13" t="str">
        <x:v>Form der Modulprüfung</x:v>
      </x:c>
      <x:c r="J78" s="13" t="str">
        <x:v>lmu_computerlinguistik_bsc_stand_2025-09-24.pdf</x:v>
      </x:c>
      <x:c r="K78" s="13" t="str">
        <x:v>WP3</x:v>
      </x:c>
      <x:c r="L78" s="13" t="str">
        <x:v>Form der Modulprüfung</x:v>
      </x:c>
      <x:c r="M78" s="13" t="n">
        <x:v>1</x:v>
      </x:c>
      <x:c r="N78" s="13" t="str">
        <x:v>lmu_computerlinguistik_bsc_stand_2025-09-24.pdf::WP3::Form der Modulprüfung</x:v>
      </x:c>
      <x:c r="O78" s="13" t="str">
        <x:v>lmu_computerlinguistik_bsc_stand_2025-09-24.pdf::WP3::Form der Modulprüfung | lmu_computerlinguistik_bsc_stand_2025-09-24.pdf::WP3::Art der Bewertung | lmu_computerlinguistik_bsc_stand_2025-09-24.pdf::WP3::Englischer Modultitel</x:v>
      </x:c>
      <x:c r="P78" s="13" t="n">
        <x:v>1</x:v>
      </x:c>
      <x:c r="Q78" s="13" t="n">
        <x:v>1</x:v>
      </x:c>
      <x:c r="R78" s="15" t="n">
        <x:v>0.3333333333333333</x:v>
      </x:c>
      <x:c r="S78" s="15" t="n">
        <x:v>1</x:v>
      </x:c>
      <x:c r="T78" s="15" t="n">
        <x:v>1</x:v>
      </x:c>
      <x:c r="U78" s="15" t="n">
        <x:v>1</x:v>
      </x:c>
      <x:c r="V78" s="15" t="n">
        <x:v>1</x:v>
      </x:c>
      <x:c r="W78" s="13" t="str">
        <x:v>vollständig</x:v>
      </x:c>
    </x:row>
    <x:row r="79">
      <x:c r="A79" s="13" t="str">
        <x:v>Deutsch n=25</x:v>
      </x:c>
      <x:c r="B79" s="13" t="str">
        <x:v>Hybrid_alpha_0.50</x:v>
      </x:c>
      <x:c r="C79" s="13" t="str">
        <x:v>q03</x:v>
      </x:c>
      <x:c r="D79" s="13" t="str">
        <x:v>responsible_person</x:v>
      </x:c>
      <x:c r="E79" s="13" t="str">
        <x:v>Wer ist modulverantwortlich für P10 Statistische Methoden in der Sprachverarbeitung?</x:v>
      </x:c>
      <x:c r="F79" s="13" t="str">
        <x:v>module+section</x:v>
      </x:c>
      <x:c r="G79" s="13" t="str">
        <x:v>lmu_computerlinguistik_bsc_stand_2025-09-24.pdf</x:v>
      </x:c>
      <x:c r="H79" s="13" t="str">
        <x:v>P10</x:v>
      </x:c>
      <x:c r="I79" s="13" t="str">
        <x:v>Modulverantwortliche/r</x:v>
      </x:c>
      <x:c r="J79" s="13" t="str">
        <x:v>lmu_computerlinguistik_bsc_stand_2025-09-24.pdf</x:v>
      </x:c>
      <x:c r="K79" s="13" t="str">
        <x:v>P10</x:v>
      </x:c>
      <x:c r="L79" s="13" t="str">
        <x:v>Modulverantwortliche/r</x:v>
      </x:c>
      <x:c r="M79" s="13" t="n">
        <x:v>1</x:v>
      </x:c>
      <x:c r="N79" s="13" t="str">
        <x:v>lmu_computerlinguistik_bsc_stand_2025-09-24.pdf::P10::Modulverantwortliche/r</x:v>
      </x:c>
      <x:c r="O79" s="13" t="str">
        <x:v>lmu_computerlinguistik_bsc_stand_2025-09-24.pdf::P10::Modulverantwortliche/r | lmu_computerlinguistik_bsc_stand_2025-09-24.pdf::P10::header | lmu_computerlinguistik_bsc_stand_2025-09-24.pdf::P10::Englischer Modultitel</x:v>
      </x:c>
      <x:c r="P79" s="13" t="n">
        <x:v>1</x:v>
      </x:c>
      <x:c r="Q79" s="13" t="n">
        <x:v>1</x:v>
      </x:c>
      <x:c r="R79" s="15" t="n">
        <x:v>0.3333333333333333</x:v>
      </x:c>
      <x:c r="S79" s="15" t="n">
        <x:v>1</x:v>
      </x:c>
      <x:c r="T79" s="15" t="n">
        <x:v>1</x:v>
      </x:c>
      <x:c r="U79" s="15" t="n">
        <x:v>1</x:v>
      </x:c>
      <x:c r="V79" s="15" t="n">
        <x:v>1</x:v>
      </x:c>
      <x:c r="W79" s="13" t="str">
        <x:v>vollständig</x:v>
      </x:c>
    </x:row>
    <x:row r="80">
      <x:c r="A80" s="13" t="str">
        <x:v>Deutsch n=25</x:v>
      </x:c>
      <x:c r="B80" s="13" t="str">
        <x:v>Hybrid_alpha_0.50</x:v>
      </x:c>
      <x:c r="C80" s="13" t="str">
        <x:v>q04</x:v>
      </x:c>
      <x:c r="D80" s="13" t="str">
        <x:v>semester</x:v>
      </x:c>
      <x:c r="E80" s="13" t="str">
        <x:v>In welchem Semester wird P8 empfohlen?</x:v>
      </x:c>
      <x:c r="F80" s="13" t="str">
        <x:v>module+section</x:v>
      </x:c>
      <x:c r="G80" s="13" t="str">
        <x:v>lmu_computerlinguistik_bsc_stand_2025-09-24.pdf</x:v>
      </x:c>
      <x:c r="H80" s="13" t="str">
        <x:v>P8</x:v>
      </x:c>
      <x:c r="I80" s="13" t="str">
        <x:v>Zeitpunkt im Studienverlauf</x:v>
      </x:c>
      <x:c r="J80" s="13" t="str">
        <x:v>lmu_computerlinguistik_bsc_stand_2025-09-24.pdf</x:v>
      </x:c>
      <x:c r="K80" s="13" t="str">
        <x:v>P8</x:v>
      </x:c>
      <x:c r="L80" s="13" t="str">
        <x:v>Zeitpunkt im Studienverlauf</x:v>
      </x:c>
      <x:c r="M80" s="13" t="n">
        <x:v>1</x:v>
      </x:c>
      <x:c r="N80" s="13" t="str">
        <x:v>lmu_computerlinguistik_bsc_stand_2025-09-24.pdf::P8::Zeitpunkt im Studienverlauf</x:v>
      </x:c>
      <x:c r="O80" s="13" t="str">
        <x:v>lmu_computerlinguistik_bsc_stand_2025-09-24.pdf::P8::Zeitpunkt im Studienverlauf | lmu_computerlinguistik_bsc_stand_2025-09-24.pdf::P7::Zeitpunkt im Studienverlauf | lmu_computerlinguistik_bsc_stand_2025-09-24.pdf::P11::Zeitpunkt im Studienverlauf</x:v>
      </x:c>
      <x:c r="P80" s="13" t="n">
        <x:v>1</x:v>
      </x:c>
      <x:c r="Q80" s="13" t="n">
        <x:v>1</x:v>
      </x:c>
      <x:c r="R80" s="15" t="n">
        <x:v>0.3333333333333333</x:v>
      </x:c>
      <x:c r="S80" s="15" t="n">
        <x:v>1</x:v>
      </x:c>
      <x:c r="T80" s="15" t="n">
        <x:v>1</x:v>
      </x:c>
      <x:c r="U80" s="15" t="n">
        <x:v>1</x:v>
      </x:c>
      <x:c r="V80" s="15" t="n">
        <x:v>1</x:v>
      </x:c>
      <x:c r="W80" s="13" t="str">
        <x:v>vollständig</x:v>
      </x:c>
    </x:row>
    <x:row r="81">
      <x:c r="A81" s="13" t="str">
        <x:v>Deutsch n=25</x:v>
      </x:c>
      <x:c r="B81" s="13" t="str">
        <x:v>Hybrid_alpha_0.50</x:v>
      </x:c>
      <x:c r="C81" s="13" t="str">
        <x:v>q05</x:v>
      </x:c>
      <x:c r="D81" s="13" t="str">
        <x:v>content</x:v>
      </x:c>
      <x:c r="E81" s="13" t="str">
        <x:v>Welche Inhalte behandelt P11 Informationsextraktion?</x:v>
      </x:c>
      <x:c r="F81" s="13" t="str">
        <x:v>module+section</x:v>
      </x:c>
      <x:c r="G81" s="13" t="str">
        <x:v>lmu_computerlinguistik_bsc_stand_2025-09-24.pdf</x:v>
      </x:c>
      <x:c r="H81" s="13" t="str">
        <x:v>P11</x:v>
      </x:c>
      <x:c r="I81" s="13" t="str">
        <x:v>Inhalte</x:v>
      </x:c>
      <x:c r="J81" s="13" t="str">
        <x:v>lmu_computerlinguistik_bsc_stand_2025-09-24.pdf</x:v>
      </x:c>
      <x:c r="K81" s="13" t="str">
        <x:v>P11</x:v>
      </x:c>
      <x:c r="L81" s="13" t="str">
        <x:v>Inhalte</x:v>
      </x:c>
      <x:c r="M81" s="13" t="n">
        <x:v>1</x:v>
      </x:c>
      <x:c r="N81" s="13" t="str">
        <x:v>lmu_computerlinguistik_bsc_stand_2025-09-24.pdf::P11::Inhalte</x:v>
      </x:c>
      <x:c r="O81" s="13" t="str">
        <x:v>lmu_computerlinguistik_bsc_stand_2025-09-24.pdf::P11::Inhalte | lmu_computerlinguistik_bsc_stand_2025-09-24.pdf::P11::Englischer Modultitel | lmu_computerlinguistik_bsc_stand_2025-09-24.pdf::P12::Inhalte</x:v>
      </x:c>
      <x:c r="P81" s="13" t="n">
        <x:v>1</x:v>
      </x:c>
      <x:c r="Q81" s="13" t="n">
        <x:v>1</x:v>
      </x:c>
      <x:c r="R81" s="15" t="n">
        <x:v>0.3333333333333333</x:v>
      </x:c>
      <x:c r="S81" s="15" t="n">
        <x:v>1</x:v>
      </x:c>
      <x:c r="T81" s="15" t="n">
        <x:v>1</x:v>
      </x:c>
      <x:c r="U81" s="15" t="n">
        <x:v>1</x:v>
      </x:c>
      <x:c r="V81" s="15" t="n">
        <x:v>1</x:v>
      </x:c>
      <x:c r="W81" s="13" t="str">
        <x:v>vollständig</x:v>
      </x:c>
    </x:row>
    <x:row r="82">
      <x:c r="A82" s="13" t="str">
        <x:v>Deutsch n=25</x:v>
      </x:c>
      <x:c r="B82" s="13" t="str">
        <x:v>Hybrid_alpha_0.50</x:v>
      </x:c>
      <x:c r="C82" s="13" t="str">
        <x:v>q06</x:v>
      </x:c>
      <x:c r="D82" s="13" t="str">
        <x:v>prerequisite</x:v>
      </x:c>
      <x:c r="E82" s="13" t="str">
        <x:v>Welche Teilnahmevoraussetzungen hat P4 Mathematische Grundlagen der Computerlinguistik?</x:v>
      </x:c>
      <x:c r="F82" s="13" t="str">
        <x:v>module+section</x:v>
      </x:c>
      <x:c r="G82" s="13" t="str">
        <x:v>lmu_computerlinguistik_bsc_stand_2025-09-24.pdf</x:v>
      </x:c>
      <x:c r="H82" s="13" t="str">
        <x:v>P4</x:v>
      </x:c>
      <x:c r="I82" s="13" t="str">
        <x:v>Teilnahmevoraussetzung</x:v>
      </x:c>
      <x:c r="J82" s="13" t="str">
        <x:v>lmu_computerlinguistik_bsc_stand_2025-09-24.pdf</x:v>
      </x:c>
      <x:c r="K82" s="13" t="str">
        <x:v>P4</x:v>
      </x:c>
      <x:c r="L82" s="13" t="str">
        <x:v>Teilnahmevoraussetzung</x:v>
      </x:c>
      <x:c r="M82" s="13" t="n">
        <x:v>1</x:v>
      </x:c>
      <x:c r="N82" s="13" t="str">
        <x:v>lmu_computerlinguistik_bsc_stand_2025-09-24.pdf::P4::Teilnahmevoraussetzung</x:v>
      </x:c>
      <x:c r="O82" s="13" t="str">
        <x:v>lmu_computerlinguistik_bsc_stand_2025-09-24.pdf::P4::Teilnahmevoraussetzung | lmu_computerlinguistik_bsc_stand_2025-09-24.pdf::P4::header | lmu_computerlinguistik_bsc_stand_2025-09-24.pdf::P4::Inhalte</x:v>
      </x:c>
      <x:c r="P82" s="13" t="n">
        <x:v>1</x:v>
      </x:c>
      <x:c r="Q82" s="13" t="n">
        <x:v>1</x:v>
      </x:c>
      <x:c r="R82" s="15" t="n">
        <x:v>0.3333333333333333</x:v>
      </x:c>
      <x:c r="S82" s="15" t="n">
        <x:v>1</x:v>
      </x:c>
      <x:c r="T82" s="15" t="n">
        <x:v>1</x:v>
      </x:c>
      <x:c r="U82" s="15" t="n">
        <x:v>1</x:v>
      </x:c>
      <x:c r="V82" s="15" t="n">
        <x:v>1</x:v>
      </x:c>
      <x:c r="W82" s="13" t="str">
        <x:v>vollständig</x:v>
      </x:c>
    </x:row>
    <x:row r="83">
      <x:c r="A83" s="13" t="str">
        <x:v>Deutsch n=25</x:v>
      </x:c>
      <x:c r="B83" s="13" t="str">
        <x:v>Hybrid_alpha_0.50</x:v>
      </x:c>
      <x:c r="C83" s="13" t="str">
        <x:v>q07</x:v>
      </x:c>
      <x:c r="D83" s="13" t="str">
        <x:v>broad_topic</x:v>
      </x:c>
      <x:c r="E83" s="13" t="str">
        <x:v>Welche Module behandeln Informationssuche und Suchmaschinen?</x:v>
      </x:c>
      <x:c r="F83" s="13" t="str">
        <x:v>module+section</x:v>
      </x:c>
      <x:c r="G83" s="13" t="str">
        <x:v>lmu_computerlinguistik_bsc_stand_2025-09-24.pdf</x:v>
      </x:c>
      <x:c r="H83" s="13" t="str">
        <x:v>WP3</x:v>
      </x:c>
      <x:c r="I83" s="13" t="str">
        <x:v>Inhalte</x:v>
      </x:c>
      <x:c r="J83" s="13" t="str">
        <x:v>lmu_computerlinguistik_bsc_stand_2025-09-24.pdf</x:v>
      </x:c>
      <x:c r="K83" s="13" t="str">
        <x:v>WP3</x:v>
      </x:c>
      <x:c r="L83" s="13" t="str">
        <x:v>Qualifikationsziele</x:v>
      </x:c>
      <x:c r="M83" s="13" t="n">
        <x:v>2</x:v>
      </x:c>
      <x:c r="N83" s="13" t="str">
        <x:v>lmu_computerlinguistik_bsc_stand_2025-09-24.pdf::WP3::Inhalte</x:v>
      </x:c>
      <x:c r="O83" s="13" t="str">
        <x:v>lmu_computerlinguistik_bsc_stand_2025-09-24.pdf::WP3::Qualifikationsziele | lmu_computerlinguistik_bsc_stand_2025-09-24.pdf::WP3::Inhalte | lmu_computerlinguistik_bsc_stand_2025-09-24.pdf::P7::Qualifikationsziele</x:v>
      </x:c>
      <x:c r="P83" s="13" t="n">
        <x:v>1</x:v>
      </x:c>
      <x:c r="Q83" s="13" t="n">
        <x:v>1</x:v>
      </x:c>
      <x:c r="R83" s="15" t="n">
        <x:v>0.3333333333333333</x:v>
      </x:c>
      <x:c r="S83" s="15" t="n">
        <x:v>1</x:v>
      </x:c>
      <x:c r="T83" s="15" t="n">
        <x:v>0.5</x:v>
      </x:c>
      <x:c r="U83" s="15" t="n">
        <x:v>0.6309297535714575</x:v>
      </x:c>
      <x:c r="V83" s="15"/>
      <x:c r="W83" s="13" t="str">
        <x:v>vollständig</x:v>
      </x:c>
    </x:row>
    <x:row r="84">
      <x:c r="A84" s="13" t="str">
        <x:v>Deutsch n=25</x:v>
      </x:c>
      <x:c r="B84" s="13" t="str">
        <x:v>Hybrid_alpha_0.50</x:v>
      </x:c>
      <x:c r="C84" s="13" t="str">
        <x:v>q08</x:v>
      </x:c>
      <x:c r="D84" s="13" t="str">
        <x:v>broad_topic</x:v>
      </x:c>
      <x:c r="E84" s="13" t="str">
        <x:v>Welches Modul behandelt reguläre Sprachen und endliche Automaten?</x:v>
      </x:c>
      <x:c r="F84" s="13" t="str">
        <x:v>module+section</x:v>
      </x:c>
      <x:c r="G84" s="13" t="str">
        <x:v>lmu_computerlinguistik_bsc_stand_2025-09-24.pdf</x:v>
      </x:c>
      <x:c r="H84" s="13" t="str">
        <x:v>P7</x:v>
      </x:c>
      <x:c r="I84" s="13" t="str">
        <x:v>Inhalte</x:v>
      </x:c>
      <x:c r="J84" s="13" t="str">
        <x:v>lmu_computerlinguistik_bsc_stand_2025-09-24.pdf</x:v>
      </x:c>
      <x:c r="K84" s="13" t="str">
        <x:v>P7</x:v>
      </x:c>
      <x:c r="L84" s="13" t="str">
        <x:v>Inhalte</x:v>
      </x:c>
      <x:c r="M84" s="13" t="n">
        <x:v>1</x:v>
      </x:c>
      <x:c r="N84" s="13" t="str">
        <x:v>lmu_computerlinguistik_bsc_stand_2025-09-24.pdf::P7::Inhalte</x:v>
      </x:c>
      <x:c r="O84" s="13" t="str">
        <x:v>lmu_computerlinguistik_bsc_stand_2025-09-24.pdf::P7::Inhalte | lmu_computerlinguistik_bsc_stand_2025-09-24.pdf::P6::Art des Moduls | lmu_computerlinguistik_bsc_stand_2025-09-24.pdf::P6::Verwendbarkeit des Moduls</x:v>
      </x:c>
      <x:c r="P84" s="13" t="n">
        <x:v>1</x:v>
      </x:c>
      <x:c r="Q84" s="13" t="n">
        <x:v>1</x:v>
      </x:c>
      <x:c r="R84" s="15" t="n">
        <x:v>0.3333333333333333</x:v>
      </x:c>
      <x:c r="S84" s="15" t="n">
        <x:v>1</x:v>
      </x:c>
      <x:c r="T84" s="15" t="n">
        <x:v>1</x:v>
      </x:c>
      <x:c r="U84" s="15" t="n">
        <x:v>1</x:v>
      </x:c>
      <x:c r="V84" s="15" t="n">
        <x:v>1</x:v>
      </x:c>
      <x:c r="W84" s="13" t="str">
        <x:v>vollständig</x:v>
      </x:c>
    </x:row>
    <x:row r="85">
      <x:c r="A85" s="13" t="str">
        <x:v>Deutsch n=25</x:v>
      </x:c>
      <x:c r="B85" s="13" t="str">
        <x:v>Hybrid_alpha_0.50</x:v>
      </x:c>
      <x:c r="C85" s="13" t="str">
        <x:v>q09</x:v>
      </x:c>
      <x:c r="D85" s="13" t="str">
        <x:v>language</x:v>
      </x:c>
      <x:c r="E85" s="13" t="str">
        <x:v>Welche Unterrichtssprache hat P1 Einführung in die Programmierung?</x:v>
      </x:c>
      <x:c r="F85" s="13" t="str">
        <x:v>module+section</x:v>
      </x:c>
      <x:c r="G85" s="13" t="str">
        <x:v>lmu_computerlinguistik_bsc_stand_2025-09-24.pdf</x:v>
      </x:c>
      <x:c r="H85" s="13" t="str">
        <x:v>P1</x:v>
      </x:c>
      <x:c r="I85" s="13" t="str">
        <x:v>Unterrichtssprache</x:v>
      </x:c>
      <x:c r="J85" s="13" t="str">
        <x:v>lmu_computerlinguistik_bsc_stand_2025-09-24.pdf</x:v>
      </x:c>
      <x:c r="K85" s="13" t="str">
        <x:v>P1</x:v>
      </x:c>
      <x:c r="L85" s="13" t="str">
        <x:v>Unterrichtssprache</x:v>
      </x:c>
      <x:c r="M85" s="13" t="n">
        <x:v>1</x:v>
      </x:c>
      <x:c r="N85" s="13" t="str">
        <x:v>lmu_computerlinguistik_bsc_stand_2025-09-24.pdf::P1::Unterrichtssprache</x:v>
      </x:c>
      <x:c r="O85" s="13" t="str">
        <x:v>lmu_computerlinguistik_bsc_stand_2025-09-24.pdf::P1::Unterrichtssprache | lmu_computerlinguistik_bsc_stand_2025-09-24.pdf::P6::Unterrichtssprache | lmu_computerlinguistik_bsc_stand_2025-09-24.pdf::P1::Englischer Modultitel</x:v>
      </x:c>
      <x:c r="P85" s="13" t="n">
        <x:v>1</x:v>
      </x:c>
      <x:c r="Q85" s="13" t="n">
        <x:v>1</x:v>
      </x:c>
      <x:c r="R85" s="15" t="n">
        <x:v>0.3333333333333333</x:v>
      </x:c>
      <x:c r="S85" s="15" t="n">
        <x:v>1</x:v>
      </x:c>
      <x:c r="T85" s="15" t="n">
        <x:v>1</x:v>
      </x:c>
      <x:c r="U85" s="15" t="n">
        <x:v>1</x:v>
      </x:c>
      <x:c r="V85" s="15" t="n">
        <x:v>1</x:v>
      </x:c>
      <x:c r="W85" s="13" t="str">
        <x:v>vollständig</x:v>
      </x:c>
    </x:row>
    <x:row r="86">
      <x:c r="A86" s="13" t="str">
        <x:v>Deutsch n=25</x:v>
      </x:c>
      <x:c r="B86" s="13" t="str">
        <x:v>Hybrid_alpha_0.50</x:v>
      </x:c>
      <x:c r="C86" s="13" t="str">
        <x:v>q10</x:v>
      </x:c>
      <x:c r="D86" s="13" t="str">
        <x:v>broad_topic</x:v>
      </x:c>
      <x:c r="E86" s="13" t="str">
        <x:v>Welche Wahlpflichtmodule gibt es zu Morphologie und Lexikographie?</x:v>
      </x:c>
      <x:c r="F86" s="13" t="str">
        <x:v>module+section</x:v>
      </x:c>
      <x:c r="G86" s="13" t="str">
        <x:v>lmu_computerlinguistik_bsc_stand_2025-09-24.pdf</x:v>
      </x:c>
      <x:c r="H86" s="13" t="str">
        <x:v>WP1</x:v>
      </x:c>
      <x:c r="I86" s="13" t="str">
        <x:v>Inhalte;header</x:v>
      </x:c>
      <x:c r="J86" s="13" t="str">
        <x:v>lmu_computerlinguistik_bsc_stand_2025-09-24.pdf</x:v>
      </x:c>
      <x:c r="K86" s="13" t="str">
        <x:v>WP1</x:v>
      </x:c>
      <x:c r="L86" s="13" t="str">
        <x:v>Wahlpflichtregelungen</x:v>
      </x:c>
      <x:c r="M86" s="13" t="n">
        <x:v>3</x:v>
      </x:c>
      <x:c r="N86" s="13" t="str">
        <x:v>lmu_computerlinguistik_bsc_stand_2025-09-24.pdf::WP1::Inhalte | lmu_computerlinguistik_bsc_stand_2025-09-24.pdf::WP1::header</x:v>
      </x:c>
      <x:c r="O86" s="13" t="str">
        <x:v>lmu_computerlinguistik_bsc_stand_2025-09-24.pdf::WP1::Wahlpflichtregelungen | lmu_computerlinguistik_bsc_stand_2025-09-24.pdf::WP1::Art des Moduls | lmu_computerlinguistik_bsc_stand_2025-09-24.pdf::WP1::header</x:v>
      </x:c>
      <x:c r="P86" s="13" t="n">
        <x:v>2</x:v>
      </x:c>
      <x:c r="Q86" s="13" t="n">
        <x:v>1</x:v>
      </x:c>
      <x:c r="R86" s="15" t="n">
        <x:v>0.3333333333333333</x:v>
      </x:c>
      <x:c r="S86" s="15" t="n">
        <x:v>0.5</x:v>
      </x:c>
      <x:c r="T86" s="15" t="n">
        <x:v>0.3333333333333333</x:v>
      </x:c>
      <x:c r="U86" s="15" t="n">
        <x:v>0.3065735963827292</x:v>
      </x:c>
      <x:c r="V86" s="15"/>
      <x:c r="W86" s="13" t="str">
        <x:v>teilweise</x:v>
      </x:c>
    </x:row>
    <x:row r="87">
      <x:c r="A87" s="13" t="str">
        <x:v>Deutsch n=25</x:v>
      </x:c>
      <x:c r="B87" s="13" t="str">
        <x:v>Hybrid_alpha_0.50</x:v>
      </x:c>
      <x:c r="C87" s="13" t="str">
        <x:v>q11</x:v>
      </x:c>
      <x:c r="D87" s="13" t="str">
        <x:v>numerical</x:v>
      </x:c>
      <x:c r="E87" s="13" t="str">
        <x:v>Wie viele ECTS hat P13 Abschlussmodul?</x:v>
      </x:c>
      <x:c r="F87" s="13" t="str">
        <x:v>module+section</x:v>
      </x:c>
      <x:c r="G87" s="13" t="str">
        <x:v>lmu_computerlinguistik_bsc_stand_2025-09-24.pdf</x:v>
      </x:c>
      <x:c r="H87" s="13" t="str">
        <x:v>P13</x:v>
      </x:c>
      <x:c r="I87" s="13" t="str">
        <x:v>Zugeordnete Modulteile</x:v>
      </x:c>
      <x:c r="J87" s="13" t="str">
        <x:v>lmu_computerlinguistik_bsc_stand_2025-09-24.pdf</x:v>
      </x:c>
      <x:c r="K87" s="13" t="str">
        <x:v>P13</x:v>
      </x:c>
      <x:c r="L87" s="13" t="str">
        <x:v>Zugeordnete Modulteile</x:v>
      </x:c>
      <x:c r="M87" s="13" t="n">
        <x:v>1</x:v>
      </x:c>
      <x:c r="N87" s="13" t="str">
        <x:v>lmu_computerlinguistik_bsc_stand_2025-09-24.pdf::P13::Zugeordnete Modulteile</x:v>
      </x:c>
      <x:c r="O87" s="13" t="str">
        <x:v>lmu_computerlinguistik_bsc_stand_2025-09-24.pdf::P13::Zugeordnete Modulteile | lmu_computerlinguistik_bsc_stand_2025-09-24.pdf::P13::Voraussetzung für die Vergabe | lmu_computerlinguistik_bsc_stand_2025-09-24.pdf::P12::Zugeordnete Modulteile</x:v>
      </x:c>
      <x:c r="P87" s="13" t="n">
        <x:v>1</x:v>
      </x:c>
      <x:c r="Q87" s="13" t="n">
        <x:v>1</x:v>
      </x:c>
      <x:c r="R87" s="15" t="n">
        <x:v>0.3333333333333333</x:v>
      </x:c>
      <x:c r="S87" s="15" t="n">
        <x:v>1</x:v>
      </x:c>
      <x:c r="T87" s="15" t="n">
        <x:v>1</x:v>
      </x:c>
      <x:c r="U87" s="15" t="n">
        <x:v>1</x:v>
      </x:c>
      <x:c r="V87" s="15" t="n">
        <x:v>1</x:v>
      </x:c>
      <x:c r="W87" s="13" t="str">
        <x:v>vollständig</x:v>
      </x:c>
    </x:row>
    <x:row r="88">
      <x:c r="A88" s="13" t="str">
        <x:v>Deutsch n=25</x:v>
      </x:c>
      <x:c r="B88" s="13" t="str">
        <x:v>Hybrid_alpha_0.50</x:v>
      </x:c>
      <x:c r="C88" s="13" t="str">
        <x:v>q12</x:v>
      </x:c>
      <x:c r="D88" s="13" t="str">
        <x:v>exam</x:v>
      </x:c>
      <x:c r="E88" s="13" t="str">
        <x:v>Welche Prüfungsform hat P13 Abschlussmodul?</x:v>
      </x:c>
      <x:c r="F88" s="13" t="str">
        <x:v>module+section</x:v>
      </x:c>
      <x:c r="G88" s="13" t="str">
        <x:v>lmu_computerlinguistik_bsc_stand_2025-09-24.pdf</x:v>
      </x:c>
      <x:c r="H88" s="13" t="str">
        <x:v>P13</x:v>
      </x:c>
      <x:c r="I88" s="13" t="str">
        <x:v>Form der Modulprüfung</x:v>
      </x:c>
      <x:c r="J88" s="13" t="str">
        <x:v>lmu_computerlinguistik_bsc_stand_2025-09-24.pdf</x:v>
      </x:c>
      <x:c r="K88" s="13" t="str">
        <x:v>P13</x:v>
      </x:c>
      <x:c r="L88" s="13" t="str">
        <x:v>Voraussetzung für die Vergabe</x:v>
      </x:c>
      <x:c r="M88" s="13"/>
      <x:c r="N88" s="13" t="str">
        <x:v>lmu_computerlinguistik_bsc_stand_2025-09-24.pdf::P13::Form der Modulprüfung</x:v>
      </x:c>
      <x:c r="O88" s="13" t="str">
        <x:v>lmu_computerlinguistik_bsc_stand_2025-09-24.pdf::P13::Voraussetzung für die Vergabe | lmu_computerlinguistik_bsc_stand_2025-09-24.pdf::P5::Form der Modulprüfung | lmu_computerlinguistik_bsc_stand_2025-09-24.pdf::P7::Form der Modulprüfung</x:v>
      </x:c>
      <x:c r="P88" s="13" t="n">
        <x:v>1</x:v>
      </x:c>
      <x:c r="Q88" s="13"/>
      <x:c r="R88" s="15"/>
      <x:c r="S88" s="15"/>
      <x:c r="T88" s="15"/>
      <x:c r="U88" s="15"/>
      <x:c r="V88" s="15"/>
      <x:c r="W88" s="13" t="str">
        <x:v>nicht gefunden</x:v>
      </x:c>
    </x:row>
    <x:row r="89">
      <x:c r="A89" s="13" t="str">
        <x:v>Deutsch n=25</x:v>
      </x:c>
      <x:c r="B89" s="13" t="str">
        <x:v>Hybrid_alpha_0.50</x:v>
      </x:c>
      <x:c r="C89" s="13" t="str">
        <x:v>q13</x:v>
      </x:c>
      <x:c r="D89" s="13" t="str">
        <x:v>responsible_person</x:v>
      </x:c>
      <x:c r="E89" s="13" t="str">
        <x:v>Wer ist für WP4 Angewandtes Programmieren in der Computerlinguistik verantwortlich?</x:v>
      </x:c>
      <x:c r="F89" s="13" t="str">
        <x:v>module+section</x:v>
      </x:c>
      <x:c r="G89" s="13" t="str">
        <x:v>lmu_computerlinguistik_bsc_stand_2025-09-24.pdf</x:v>
      </x:c>
      <x:c r="H89" s="13" t="str">
        <x:v>WP4</x:v>
      </x:c>
      <x:c r="I89" s="13" t="str">
        <x:v>Modulverantwortliche/r</x:v>
      </x:c>
      <x:c r="J89" s="13" t="str">
        <x:v>lmu_computerlinguistik_bsc_stand_2025-09-24.pdf</x:v>
      </x:c>
      <x:c r="K89" s="13" t="str">
        <x:v>WP4</x:v>
      </x:c>
      <x:c r="L89" s="13" t="str">
        <x:v>Modulverantwortliche/r</x:v>
      </x:c>
      <x:c r="M89" s="13" t="n">
        <x:v>1</x:v>
      </x:c>
      <x:c r="N89" s="13" t="str">
        <x:v>lmu_computerlinguistik_bsc_stand_2025-09-24.pdf::WP4::Modulverantwortliche/r</x:v>
      </x:c>
      <x:c r="O89" s="13" t="str">
        <x:v>lmu_computerlinguistik_bsc_stand_2025-09-24.pdf::WP4::Modulverantwortliche/r | lmu_computerlinguistik_bsc_stand_2025-09-24.pdf::WP4::header | lmu_computerlinguistik_bsc_stand_2025-09-24.pdf::WP4::Teilnahmevoraussetzung</x:v>
      </x:c>
      <x:c r="P89" s="13" t="n">
        <x:v>1</x:v>
      </x:c>
      <x:c r="Q89" s="13" t="n">
        <x:v>1</x:v>
      </x:c>
      <x:c r="R89" s="15" t="n">
        <x:v>0.3333333333333333</x:v>
      </x:c>
      <x:c r="S89" s="15" t="n">
        <x:v>1</x:v>
      </x:c>
      <x:c r="T89" s="15" t="n">
        <x:v>1</x:v>
      </x:c>
      <x:c r="U89" s="15" t="n">
        <x:v>1</x:v>
      </x:c>
      <x:c r="V89" s="15" t="n">
        <x:v>1</x:v>
      </x:c>
      <x:c r="W89" s="13" t="str">
        <x:v>vollständig</x:v>
      </x:c>
    </x:row>
    <x:row r="90">
      <x:c r="A90" s="13" t="str">
        <x:v>Deutsch n=25</x:v>
      </x:c>
      <x:c r="B90" s="13" t="str">
        <x:v>Hybrid_alpha_0.50</x:v>
      </x:c>
      <x:c r="C90" s="13" t="str">
        <x:v>q14</x:v>
      </x:c>
      <x:c r="D90" s="13" t="str">
        <x:v>semester</x:v>
      </x:c>
      <x:c r="E90" s="13" t="str">
        <x:v>In welchem Semester wird P10 Statistische Methoden in der Sprachverarbeitung empfohlen?</x:v>
      </x:c>
      <x:c r="F90" s="13" t="str">
        <x:v>module+section</x:v>
      </x:c>
      <x:c r="G90" s="13" t="str">
        <x:v>lmu_computerlinguistik_bsc_stand_2025-09-24.pdf</x:v>
      </x:c>
      <x:c r="H90" s="13" t="str">
        <x:v>P10</x:v>
      </x:c>
      <x:c r="I90" s="13" t="str">
        <x:v>Zeitpunkt im Studienverlauf</x:v>
      </x:c>
      <x:c r="J90" s="13" t="str">
        <x:v>lmu_computerlinguistik_bsc_stand_2025-09-24.pdf</x:v>
      </x:c>
      <x:c r="K90" s="13" t="str">
        <x:v>P10</x:v>
      </x:c>
      <x:c r="L90" s="13" t="str">
        <x:v>Zeitpunkt im Studienverlauf</x:v>
      </x:c>
      <x:c r="M90" s="13" t="n">
        <x:v>1</x:v>
      </x:c>
      <x:c r="N90" s="13" t="str">
        <x:v>lmu_computerlinguistik_bsc_stand_2025-09-24.pdf::P10::Zeitpunkt im Studienverlauf</x:v>
      </x:c>
      <x:c r="O90" s="13" t="str">
        <x:v>lmu_computerlinguistik_bsc_stand_2025-09-24.pdf::P10::Zeitpunkt im Studienverlauf | lmu_computerlinguistik_bsc_stand_2025-09-24.pdf::P10::Dauer | lmu_computerlinguistik_bsc_stand_2025-09-24.pdf::P10::Qualifikationsziele</x:v>
      </x:c>
      <x:c r="P90" s="13" t="n">
        <x:v>1</x:v>
      </x:c>
      <x:c r="Q90" s="13" t="n">
        <x:v>1</x:v>
      </x:c>
      <x:c r="R90" s="15" t="n">
        <x:v>0.3333333333333333</x:v>
      </x:c>
      <x:c r="S90" s="15" t="n">
        <x:v>1</x:v>
      </x:c>
      <x:c r="T90" s="15" t="n">
        <x:v>1</x:v>
      </x:c>
      <x:c r="U90" s="15" t="n">
        <x:v>1</x:v>
      </x:c>
      <x:c r="V90" s="15" t="n">
        <x:v>1</x:v>
      </x:c>
      <x:c r="W90" s="13" t="str">
        <x:v>vollständig</x:v>
      </x:c>
    </x:row>
    <x:row r="91">
      <x:c r="A91" s="13" t="str">
        <x:v>Deutsch n=25</x:v>
      </x:c>
      <x:c r="B91" s="13" t="str">
        <x:v>Hybrid_alpha_0.50</x:v>
      </x:c>
      <x:c r="C91" s="13" t="str">
        <x:v>q15</x:v>
      </x:c>
      <x:c r="D91" s="13" t="str">
        <x:v>content</x:v>
      </x:c>
      <x:c r="E91" s="13" t="str">
        <x:v>Welche Inhalte behandelt P8 Computerlinguistische Anwendungen und Korpusbearbeitung?</x:v>
      </x:c>
      <x:c r="F91" s="13" t="str">
        <x:v>module+section</x:v>
      </x:c>
      <x:c r="G91" s="13" t="str">
        <x:v>lmu_computerlinguistik_bsc_stand_2025-09-24.pdf</x:v>
      </x:c>
      <x:c r="H91" s="13" t="str">
        <x:v>P8</x:v>
      </x:c>
      <x:c r="I91" s="13" t="str">
        <x:v>Inhalte</x:v>
      </x:c>
      <x:c r="J91" s="13" t="str">
        <x:v>lmu_computerlinguistik_bsc_stand_2025-09-24.pdf</x:v>
      </x:c>
      <x:c r="K91" s="13" t="str">
        <x:v>P8</x:v>
      </x:c>
      <x:c r="L91" s="13" t="str">
        <x:v>Inhalte</x:v>
      </x:c>
      <x:c r="M91" s="13" t="n">
        <x:v>1</x:v>
      </x:c>
      <x:c r="N91" s="13" t="str">
        <x:v>lmu_computerlinguistik_bsc_stand_2025-09-24.pdf::P8::Inhalte</x:v>
      </x:c>
      <x:c r="O91" s="13" t="str">
        <x:v>lmu_computerlinguistik_bsc_stand_2025-09-24.pdf::P8::Inhalte | lmu_computerlinguistik_bsc_stand_2025-09-24.pdf::P8::header | lmu_computerlinguistik_bsc_stand_2025-09-24.pdf::P2::Inhalte</x:v>
      </x:c>
      <x:c r="P91" s="13" t="n">
        <x:v>1</x:v>
      </x:c>
      <x:c r="Q91" s="13" t="n">
        <x:v>1</x:v>
      </x:c>
      <x:c r="R91" s="15" t="n">
        <x:v>0.3333333333333333</x:v>
      </x:c>
      <x:c r="S91" s="15" t="n">
        <x:v>1</x:v>
      </x:c>
      <x:c r="T91" s="15" t="n">
        <x:v>1</x:v>
      </x:c>
      <x:c r="U91" s="15" t="n">
        <x:v>1</x:v>
      </x:c>
      <x:c r="V91" s="15" t="n">
        <x:v>1</x:v>
      </x:c>
      <x:c r="W91" s="13" t="str">
        <x:v>vollständig</x:v>
      </x:c>
    </x:row>
    <x:row r="92">
      <x:c r="A92" s="13" t="str">
        <x:v>Deutsch n=25</x:v>
      </x:c>
      <x:c r="B92" s="13" t="str">
        <x:v>Hybrid_alpha_0.50</x:v>
      </x:c>
      <x:c r="C92" s="13" t="str">
        <x:v>q16</x:v>
      </x:c>
      <x:c r="D92" s="13" t="str">
        <x:v>exam</x:v>
      </x:c>
      <x:c r="E92" s="13" t="str">
        <x:v>Welche Prüfungsform hat P11 Informationsextraktion?</x:v>
      </x:c>
      <x:c r="F92" s="13" t="str">
        <x:v>module+section</x:v>
      </x:c>
      <x:c r="G92" s="13" t="str">
        <x:v>lmu_computerlinguistik_bsc_stand_2025-09-24.pdf</x:v>
      </x:c>
      <x:c r="H92" s="13" t="str">
        <x:v>P11</x:v>
      </x:c>
      <x:c r="I92" s="13" t="str">
        <x:v>Form der Modulprüfung</x:v>
      </x:c>
      <x:c r="J92" s="13" t="str">
        <x:v>lmu_computerlinguistik_bsc_stand_2025-09-24.pdf</x:v>
      </x:c>
      <x:c r="K92" s="13" t="str">
        <x:v>P11</x:v>
      </x:c>
      <x:c r="L92" s="13" t="str">
        <x:v>Form der Modulprüfung</x:v>
      </x:c>
      <x:c r="M92" s="13" t="n">
        <x:v>1</x:v>
      </x:c>
      <x:c r="N92" s="13" t="str">
        <x:v>lmu_computerlinguistik_bsc_stand_2025-09-24.pdf::P11::Form der Modulprüfung</x:v>
      </x:c>
      <x:c r="O92" s="13" t="str">
        <x:v>lmu_computerlinguistik_bsc_stand_2025-09-24.pdf::P11::Form der Modulprüfung | lmu_computerlinguistik_bsc_stand_2025-09-24.pdf::P11::Qualifikationsziele | lmu_computerlinguistik_bsc_stand_2025-09-24.pdf::P5::Form der Modulprüfung</x:v>
      </x:c>
      <x:c r="P92" s="13" t="n">
        <x:v>1</x:v>
      </x:c>
      <x:c r="Q92" s="13" t="n">
        <x:v>1</x:v>
      </x:c>
      <x:c r="R92" s="15" t="n">
        <x:v>0.3333333333333333</x:v>
      </x:c>
      <x:c r="S92" s="15" t="n">
        <x:v>1</x:v>
      </x:c>
      <x:c r="T92" s="15" t="n">
        <x:v>1</x:v>
      </x:c>
      <x:c r="U92" s="15" t="n">
        <x:v>1</x:v>
      </x:c>
      <x:c r="V92" s="15" t="n">
        <x:v>1</x:v>
      </x:c>
      <x:c r="W92" s="13" t="str">
        <x:v>vollständig</x:v>
      </x:c>
    </x:row>
    <x:row r="93">
      <x:c r="A93" s="13" t="str">
        <x:v>Deutsch n=25</x:v>
      </x:c>
      <x:c r="B93" s="13" t="str">
        <x:v>Hybrid_alpha_0.50</x:v>
      </x:c>
      <x:c r="C93" s="13" t="str">
        <x:v>q17</x:v>
      </x:c>
      <x:c r="D93" s="13" t="str">
        <x:v>responsible_person</x:v>
      </x:c>
      <x:c r="E93" s="13" t="str">
        <x:v>Wer ist Modulverantwortlicher für P1 Einführung in die Programmierung?</x:v>
      </x:c>
      <x:c r="F93" s="13" t="str">
        <x:v>module+section</x:v>
      </x:c>
      <x:c r="G93" s="13" t="str">
        <x:v>lmu_computerlinguistik_bsc_stand_2025-09-24.pdf</x:v>
      </x:c>
      <x:c r="H93" s="13" t="str">
        <x:v>P1</x:v>
      </x:c>
      <x:c r="I93" s="13" t="str">
        <x:v>Modulverantwortliche/r</x:v>
      </x:c>
      <x:c r="J93" s="13" t="str">
        <x:v>lmu_computerlinguistik_bsc_stand_2025-09-24.pdf</x:v>
      </x:c>
      <x:c r="K93" s="13" t="str">
        <x:v>P1</x:v>
      </x:c>
      <x:c r="L93" s="13" t="str">
        <x:v>Modulverantwortliche/r</x:v>
      </x:c>
      <x:c r="M93" s="13" t="n">
        <x:v>1</x:v>
      </x:c>
      <x:c r="N93" s="13" t="str">
        <x:v>lmu_computerlinguistik_bsc_stand_2025-09-24.pdf::P1::Modulverantwortliche/r</x:v>
      </x:c>
      <x:c r="O93" s="13" t="str">
        <x:v>lmu_computerlinguistik_bsc_stand_2025-09-24.pdf::P1::Modulverantwortliche/r | lmu_computerlinguistik_bsc_stand_2025-09-24.pdf::P1::header | lmu_computerlinguistik_bsc_stand_2025-09-24.pdf::P1::Englischer Modultitel</x:v>
      </x:c>
      <x:c r="P93" s="13" t="n">
        <x:v>1</x:v>
      </x:c>
      <x:c r="Q93" s="13" t="n">
        <x:v>1</x:v>
      </x:c>
      <x:c r="R93" s="15" t="n">
        <x:v>0.3333333333333333</x:v>
      </x:c>
      <x:c r="S93" s="15" t="n">
        <x:v>1</x:v>
      </x:c>
      <x:c r="T93" s="15" t="n">
        <x:v>1</x:v>
      </x:c>
      <x:c r="U93" s="15" t="n">
        <x:v>1</x:v>
      </x:c>
      <x:c r="V93" s="15" t="n">
        <x:v>1</x:v>
      </x:c>
      <x:c r="W93" s="13" t="str">
        <x:v>vollständig</x:v>
      </x:c>
    </x:row>
    <x:row r="94">
      <x:c r="A94" s="13" t="str">
        <x:v>Deutsch n=25</x:v>
      </x:c>
      <x:c r="B94" s="13" t="str">
        <x:v>Hybrid_alpha_0.50</x:v>
      </x:c>
      <x:c r="C94" s="13" t="str">
        <x:v>q18</x:v>
      </x:c>
      <x:c r="D94" s="13" t="str">
        <x:v>prerequisite</x:v>
      </x:c>
      <x:c r="E94" s="13" t="str">
        <x:v>Welche Teilnahmevoraussetzung hat WP3 Information Retrieval?</x:v>
      </x:c>
      <x:c r="F94" s="13" t="str">
        <x:v>module+section</x:v>
      </x:c>
      <x:c r="G94" s="13" t="str">
        <x:v>lmu_computerlinguistik_bsc_stand_2025-09-24.pdf</x:v>
      </x:c>
      <x:c r="H94" s="13" t="str">
        <x:v>WP3</x:v>
      </x:c>
      <x:c r="I94" s="13" t="str">
        <x:v>Teilnahmevoraussetzung</x:v>
      </x:c>
      <x:c r="J94" s="13" t="str">
        <x:v>lmu_computerlinguistik_bsc_stand_2025-09-24.pdf</x:v>
      </x:c>
      <x:c r="K94" s="13" t="str">
        <x:v>WP3</x:v>
      </x:c>
      <x:c r="L94" s="13" t="str">
        <x:v>Teilnahmevoraussetzung</x:v>
      </x:c>
      <x:c r="M94" s="13" t="n">
        <x:v>1</x:v>
      </x:c>
      <x:c r="N94" s="13" t="str">
        <x:v>lmu_computerlinguistik_bsc_stand_2025-09-24.pdf::WP3::Teilnahmevoraussetzung</x:v>
      </x:c>
      <x:c r="O94" s="13" t="str">
        <x:v>lmu_computerlinguistik_bsc_stand_2025-09-24.pdf::WP3::Teilnahmevoraussetzung | lmu_computerlinguistik_bsc_stand_2025-09-24.pdf::WP3::Englischer Modultitel | lmu_computerlinguistik_bsc_stand_2025-09-24.pdf::WP3::Inhalte</x:v>
      </x:c>
      <x:c r="P94" s="13" t="n">
        <x:v>1</x:v>
      </x:c>
      <x:c r="Q94" s="13" t="n">
        <x:v>1</x:v>
      </x:c>
      <x:c r="R94" s="15" t="n">
        <x:v>0.3333333333333333</x:v>
      </x:c>
      <x:c r="S94" s="15" t="n">
        <x:v>1</x:v>
      </x:c>
      <x:c r="T94" s="15" t="n">
        <x:v>1</x:v>
      </x:c>
      <x:c r="U94" s="15" t="n">
        <x:v>1</x:v>
      </x:c>
      <x:c r="V94" s="15" t="n">
        <x:v>1</x:v>
      </x:c>
      <x:c r="W94" s="13" t="str">
        <x:v>vollständig</x:v>
      </x:c>
    </x:row>
    <x:row r="95">
      <x:c r="A95" s="13" t="str">
        <x:v>Deutsch n=25</x:v>
      </x:c>
      <x:c r="B95" s="13" t="str">
        <x:v>Hybrid_alpha_0.50</x:v>
      </x:c>
      <x:c r="C95" s="13" t="str">
        <x:v>q19</x:v>
      </x:c>
      <x:c r="D95" s="13" t="str">
        <x:v>broad_topic</x:v>
      </x:c>
      <x:c r="E95" s="13" t="str">
        <x:v>Welche Module behandeln maschinelles Lernen?</x:v>
      </x:c>
      <x:c r="F95" s="13" t="str">
        <x:v>module+section</x:v>
      </x:c>
      <x:c r="G95" s="13" t="str">
        <x:v>lmu_computerlinguistik_bsc_stand_2025-09-24.pdf</x:v>
      </x:c>
      <x:c r="H95" s="13" t="str">
        <x:v>P8</x:v>
      </x:c>
      <x:c r="I95" s="13" t="str">
        <x:v>Inhalte</x:v>
      </x:c>
      <x:c r="J95" s="13" t="str">
        <x:v>lmu_computerlinguistik_bsc_stand_2025-09-24.pdf</x:v>
      </x:c>
      <x:c r="K95" s="13" t="str">
        <x:v>P1</x:v>
      </x:c>
      <x:c r="L95" s="13" t="str">
        <x:v>Qualifikationsziele</x:v>
      </x:c>
      <x:c r="M95" s="13"/>
      <x:c r="N95" s="13" t="str">
        <x:v>lmu_computerlinguistik_bsc_stand_2025-09-24.pdf::P8::Inhalte</x:v>
      </x:c>
      <x:c r="O95" s="13" t="str">
        <x:v>lmu_computerlinguistik_bsc_stand_2025-09-24.pdf::P1::Qualifikationsziele | lmu_computerlinguistik_bsc_stand_2025-09-24.pdf::WP3::Qualifikationsziele | lmu_computerlinguistik_bsc_stand_2025-09-24.pdf::P7::Qualifikationsziele</x:v>
      </x:c>
      <x:c r="P95" s="13" t="n">
        <x:v>1</x:v>
      </x:c>
      <x:c r="Q95" s="13"/>
      <x:c r="R95" s="15"/>
      <x:c r="S95" s="15"/>
      <x:c r="T95" s="15"/>
      <x:c r="U95" s="15"/>
      <x:c r="V95" s="15"/>
      <x:c r="W95" s="13" t="str">
        <x:v>nicht gefunden</x:v>
      </x:c>
    </x:row>
    <x:row r="96">
      <x:c r="A96" s="13" t="str">
        <x:v>Deutsch n=25</x:v>
      </x:c>
      <x:c r="B96" s="13" t="str">
        <x:v>Hybrid_alpha_0.50</x:v>
      </x:c>
      <x:c r="C96" s="13" t="str">
        <x:v>q20</x:v>
      </x:c>
      <x:c r="D96" s="13" t="str">
        <x:v>broad_topic</x:v>
      </x:c>
      <x:c r="E96" s="13" t="str">
        <x:v>In welchem Modul geht es um Syntax natürlicher Sprachen?</x:v>
      </x:c>
      <x:c r="F96" s="13" t="str">
        <x:v>module+section</x:v>
      </x:c>
      <x:c r="G96" s="13" t="str">
        <x:v>lmu_computerlinguistik_bsc_stand_2025-09-24.pdf</x:v>
      </x:c>
      <x:c r="H96" s="13" t="str">
        <x:v>P6</x:v>
      </x:c>
      <x:c r="I96" s="13" t="str">
        <x:v>Inhalte;header</x:v>
      </x:c>
      <x:c r="J96" s="13" t="str">
        <x:v>lmu_computerlinguistik_bsc_stand_2025-09-24.pdf</x:v>
      </x:c>
      <x:c r="K96" s="13" t="str">
        <x:v>P6</x:v>
      </x:c>
      <x:c r="L96" s="13" t="str">
        <x:v>Unterrichtssprache</x:v>
      </x:c>
      <x:c r="M96" s="13" t="n">
        <x:v>2</x:v>
      </x:c>
      <x:c r="N96" s="13" t="str">
        <x:v>lmu_computerlinguistik_bsc_stand_2025-09-24.pdf::P6::Inhalte | lmu_computerlinguistik_bsc_stand_2025-09-24.pdf::P6::header</x:v>
      </x:c>
      <x:c r="O96" s="13" t="str">
        <x:v>lmu_computerlinguistik_bsc_stand_2025-09-24.pdf::P6::Unterrichtssprache | lmu_computerlinguistik_bsc_stand_2025-09-24.pdf::P6::header | lmu_computerlinguistik_bsc_stand_2025-09-24.pdf::P6::Inhalte</x:v>
      </x:c>
      <x:c r="P96" s="13" t="n">
        <x:v>2</x:v>
      </x:c>
      <x:c r="Q96" s="13" t="n">
        <x:v>2</x:v>
      </x:c>
      <x:c r="R96" s="15" t="n">
        <x:v>0.6666666666666666</x:v>
      </x:c>
      <x:c r="S96" s="15" t="n">
        <x:v>1</x:v>
      </x:c>
      <x:c r="T96" s="15" t="n">
        <x:v>0.5</x:v>
      </x:c>
      <x:c r="U96" s="15" t="n">
        <x:v>0.6934264036172708</x:v>
      </x:c>
      <x:c r="V96" s="15"/>
      <x:c r="W96" s="13" t="str">
        <x:v>vollständig</x:v>
      </x:c>
    </x:row>
    <x:row r="97">
      <x:c r="A97" s="13" t="str">
        <x:v>Deutsch n=25</x:v>
      </x:c>
      <x:c r="B97" s="13" t="str">
        <x:v>Hybrid_alpha_0.50</x:v>
      </x:c>
      <x:c r="C97" s="13" t="str">
        <x:v>q21</x:v>
      </x:c>
      <x:c r="D97" s="13" t="str">
        <x:v>exam</x:v>
      </x:c>
      <x:c r="E97" s="13" t="str">
        <x:v>Welche Prüfungsform hat WP1 Computergestützte Morphologie und Lexikographie?</x:v>
      </x:c>
      <x:c r="F97" s="13" t="str">
        <x:v>module+section</x:v>
      </x:c>
      <x:c r="G97" s="13" t="str">
        <x:v>lmu_computerlinguistik_bsc_stand_2025-09-24.pdf</x:v>
      </x:c>
      <x:c r="H97" s="13" t="str">
        <x:v>WP1</x:v>
      </x:c>
      <x:c r="I97" s="13" t="str">
        <x:v>Form der Modulprüfung</x:v>
      </x:c>
      <x:c r="J97" s="13" t="str">
        <x:v>lmu_computerlinguistik_bsc_stand_2025-09-24.pdf</x:v>
      </x:c>
      <x:c r="K97" s="13" t="str">
        <x:v>WP1</x:v>
      </x:c>
      <x:c r="L97" s="13" t="str">
        <x:v>header</x:v>
      </x:c>
      <x:c r="M97" s="13" t="n">
        <x:v>3</x:v>
      </x:c>
      <x:c r="N97" s="13" t="str">
        <x:v>lmu_computerlinguistik_bsc_stand_2025-09-24.pdf::WP1::Form der Modulprüfung</x:v>
      </x:c>
      <x:c r="O97" s="13" t="str">
        <x:v>lmu_computerlinguistik_bsc_stand_2025-09-24.pdf::WP1::header | lmu_computerlinguistik_bsc_stand_2025-09-24.pdf::WP1::Art der Bewertung | lmu_computerlinguistik_bsc_stand_2025-09-24.pdf::WP1::Form der Modulprüfung</x:v>
      </x:c>
      <x:c r="P97" s="13" t="n">
        <x:v>1</x:v>
      </x:c>
      <x:c r="Q97" s="13" t="n">
        <x:v>1</x:v>
      </x:c>
      <x:c r="R97" s="15" t="n">
        <x:v>0.3333333333333333</x:v>
      </x:c>
      <x:c r="S97" s="15" t="n">
        <x:v>1</x:v>
      </x:c>
      <x:c r="T97" s="15" t="n">
        <x:v>0.3333333333333333</x:v>
      </x:c>
      <x:c r="U97" s="15" t="n">
        <x:v>0.5</x:v>
      </x:c>
      <x:c r="V97" s="15"/>
      <x:c r="W97" s="13" t="str">
        <x:v>vollständig</x:v>
      </x:c>
    </x:row>
    <x:row r="98">
      <x:c r="A98" s="13" t="str">
        <x:v>Deutsch n=25</x:v>
      </x:c>
      <x:c r="B98" s="13" t="str">
        <x:v>Hybrid_alpha_0.50</x:v>
      </x:c>
      <x:c r="C98" s="13" t="str">
        <x:v>q22</x:v>
      </x:c>
      <x:c r="D98" s="13" t="str">
        <x:v>responsible_person</x:v>
      </x:c>
      <x:c r="E98" s="13" t="str">
        <x:v>Wer ist Modulverantwortlicher für WP2 Höhere Programmiersprache?</x:v>
      </x:c>
      <x:c r="F98" s="13" t="str">
        <x:v>module+section</x:v>
      </x:c>
      <x:c r="G98" s="13" t="str">
        <x:v>lmu_computerlinguistik_bsc_stand_2025-09-24.pdf</x:v>
      </x:c>
      <x:c r="H98" s="13" t="str">
        <x:v>WP2</x:v>
      </x:c>
      <x:c r="I98" s="13" t="str">
        <x:v>Modulverantwortliche/r</x:v>
      </x:c>
      <x:c r="J98" s="13" t="str">
        <x:v>lmu_computerlinguistik_bsc_stand_2025-09-24.pdf</x:v>
      </x:c>
      <x:c r="K98" s="13" t="str">
        <x:v>WP2</x:v>
      </x:c>
      <x:c r="L98" s="13" t="str">
        <x:v>Unterrichtssprache</x:v>
      </x:c>
      <x:c r="M98" s="13" t="n">
        <x:v>2</x:v>
      </x:c>
      <x:c r="N98" s="13" t="str">
        <x:v>lmu_computerlinguistik_bsc_stand_2025-09-24.pdf::WP2::Modulverantwortliche/r</x:v>
      </x:c>
      <x:c r="O98" s="13" t="str">
        <x:v>lmu_computerlinguistik_bsc_stand_2025-09-24.pdf::WP2::Unterrichtssprache | lmu_computerlinguistik_bsc_stand_2025-09-24.pdf::WP2::Modulverantwortliche/r | lmu_computerlinguistik_bsc_stand_2025-09-24.pdf::WP2::Englischer Modultitel</x:v>
      </x:c>
      <x:c r="P98" s="13" t="n">
        <x:v>1</x:v>
      </x:c>
      <x:c r="Q98" s="13" t="n">
        <x:v>1</x:v>
      </x:c>
      <x:c r="R98" s="15" t="n">
        <x:v>0.3333333333333333</x:v>
      </x:c>
      <x:c r="S98" s="15" t="n">
        <x:v>1</x:v>
      </x:c>
      <x:c r="T98" s="15" t="n">
        <x:v>0.5</x:v>
      </x:c>
      <x:c r="U98" s="15" t="n">
        <x:v>0.6309297535714575</x:v>
      </x:c>
      <x:c r="V98" s="15"/>
      <x:c r="W98" s="13" t="str">
        <x:v>vollständig</x:v>
      </x:c>
    </x:row>
    <x:row r="99">
      <x:c r="A99" s="13" t="str">
        <x:v>Deutsch n=25</x:v>
      </x:c>
      <x:c r="B99" s="13" t="str">
        <x:v>Hybrid_alpha_0.50</x:v>
      </x:c>
      <x:c r="C99" s="13" t="str">
        <x:v>q23</x:v>
      </x:c>
      <x:c r="D99" s="13" t="str">
        <x:v>numerical</x:v>
      </x:c>
      <x:c r="E99" s="13" t="str">
        <x:v>Wie viele ECTS hat P4 Mathematische Grundlagen der Computerlinguistik?</x:v>
      </x:c>
      <x:c r="F99" s="13" t="str">
        <x:v>module+section</x:v>
      </x:c>
      <x:c r="G99" s="13" t="str">
        <x:v>lmu_computerlinguistik_bsc_stand_2025-09-24.pdf</x:v>
      </x:c>
      <x:c r="H99" s="13" t="str">
        <x:v>P4</x:v>
      </x:c>
      <x:c r="I99" s="13" t="str">
        <x:v>Zugeordnete Modulteile</x:v>
      </x:c>
      <x:c r="J99" s="13" t="str">
        <x:v>lmu_computerlinguistik_bsc_stand_2025-09-24.pdf</x:v>
      </x:c>
      <x:c r="K99" s="13" t="str">
        <x:v>P4</x:v>
      </x:c>
      <x:c r="L99" s="13" t="str">
        <x:v>Voraussetzung für die Vergabe</x:v>
      </x:c>
      <x:c r="M99" s="13" t="n">
        <x:v>2</x:v>
      </x:c>
      <x:c r="N99" s="13" t="str">
        <x:v>lmu_computerlinguistik_bsc_stand_2025-09-24.pdf::P4::Zugeordnete Modulteile</x:v>
      </x:c>
      <x:c r="O99" s="13" t="str">
        <x:v>lmu_computerlinguistik_bsc_stand_2025-09-24.pdf::P4::Voraussetzung für die Vergabe | lmu_computerlinguistik_bsc_stand_2025-09-24.pdf::P4::Zugeordnete Modulteile | lmu_computerlinguistik_bsc_stand_2025-09-24.pdf::P4::header</x:v>
      </x:c>
      <x:c r="P99" s="13" t="n">
        <x:v>1</x:v>
      </x:c>
      <x:c r="Q99" s="13" t="n">
        <x:v>1</x:v>
      </x:c>
      <x:c r="R99" s="15" t="n">
        <x:v>0.3333333333333333</x:v>
      </x:c>
      <x:c r="S99" s="15" t="n">
        <x:v>1</x:v>
      </x:c>
      <x:c r="T99" s="15" t="n">
        <x:v>0.5</x:v>
      </x:c>
      <x:c r="U99" s="15" t="n">
        <x:v>0.6309297535714575</x:v>
      </x:c>
      <x:c r="V99" s="15"/>
      <x:c r="W99" s="13" t="str">
        <x:v>vollständig</x:v>
      </x:c>
    </x:row>
    <x:row r="100">
      <x:c r="A100" s="13" t="str">
        <x:v>Deutsch n=25</x:v>
      </x:c>
      <x:c r="B100" s="13" t="str">
        <x:v>Hybrid_alpha_0.50</x:v>
      </x:c>
      <x:c r="C100" s="13" t="str">
        <x:v>q24</x:v>
      </x:c>
      <x:c r="D100" s="13" t="str">
        <x:v>content</x:v>
      </x:c>
      <x:c r="E100" s="13" t="str">
        <x:v>Welche Inhalte behandelt P5 Symbolische Programmiersprache?</x:v>
      </x:c>
      <x:c r="F100" s="13" t="str">
        <x:v>module+section</x:v>
      </x:c>
      <x:c r="G100" s="13" t="str">
        <x:v>lmu_computerlinguistik_bsc_stand_2025-09-24.pdf</x:v>
      </x:c>
      <x:c r="H100" s="13" t="str">
        <x:v>P5</x:v>
      </x:c>
      <x:c r="I100" s="13" t="str">
        <x:v>Inhalte</x:v>
      </x:c>
      <x:c r="J100" s="13" t="str">
        <x:v>lmu_computerlinguistik_bsc_stand_2025-09-24.pdf</x:v>
      </x:c>
      <x:c r="K100" s="13" t="str">
        <x:v>P5</x:v>
      </x:c>
      <x:c r="L100" s="13" t="str">
        <x:v>Unterrichtssprache</x:v>
      </x:c>
      <x:c r="M100" s="13" t="n">
        <x:v>3</x:v>
      </x:c>
      <x:c r="N100" s="13" t="str">
        <x:v>lmu_computerlinguistik_bsc_stand_2025-09-24.pdf::P5::Inhalte</x:v>
      </x:c>
      <x:c r="O100" s="13" t="str">
        <x:v>lmu_computerlinguistik_bsc_stand_2025-09-24.pdf::P5::Unterrichtssprache | lmu_computerlinguistik_bsc_stand_2025-09-24.pdf::P5::Englischer Modultitel | lmu_computerlinguistik_bsc_stand_2025-09-24.pdf::P5::Inhalte</x:v>
      </x:c>
      <x:c r="P100" s="13" t="n">
        <x:v>1</x:v>
      </x:c>
      <x:c r="Q100" s="13" t="n">
        <x:v>1</x:v>
      </x:c>
      <x:c r="R100" s="15" t="n">
        <x:v>0.3333333333333333</x:v>
      </x:c>
      <x:c r="S100" s="15" t="n">
        <x:v>1</x:v>
      </x:c>
      <x:c r="T100" s="15" t="n">
        <x:v>0.3333333333333333</x:v>
      </x:c>
      <x:c r="U100" s="15" t="n">
        <x:v>0.5</x:v>
      </x:c>
      <x:c r="V100" s="15"/>
      <x:c r="W100" s="13" t="str">
        <x:v>vollständig</x:v>
      </x:c>
    </x:row>
    <x:row r="101">
      <x:c r="A101" s="13" t="str">
        <x:v>Deutsch n=25</x:v>
      </x:c>
      <x:c r="B101" s="13" t="str">
        <x:v>Hybrid_alpha_0.50</x:v>
      </x:c>
      <x:c r="C101" s="13" t="str">
        <x:v>q25</x:v>
      </x:c>
      <x:c r="D101" s="13" t="str">
        <x:v>language</x:v>
      </x:c>
      <x:c r="E101" s="13" t="str">
        <x:v>Welche Unterrichtssprache hat WP3 Information Retrieval?</x:v>
      </x:c>
      <x:c r="F101" s="13" t="str">
        <x:v>module+section</x:v>
      </x:c>
      <x:c r="G101" s="13" t="str">
        <x:v>lmu_computerlinguistik_bsc_stand_2025-09-24.pdf</x:v>
      </x:c>
      <x:c r="H101" s="13" t="str">
        <x:v>WP3</x:v>
      </x:c>
      <x:c r="I101" s="13" t="str">
        <x:v>Unterrichtssprache</x:v>
      </x:c>
      <x:c r="J101" s="13" t="str">
        <x:v>lmu_computerlinguistik_bsc_stand_2025-09-24.pdf</x:v>
      </x:c>
      <x:c r="K101" s="13" t="str">
        <x:v>WP3</x:v>
      </x:c>
      <x:c r="L101" s="13" t="str">
        <x:v>Unterrichtssprache</x:v>
      </x:c>
      <x:c r="M101" s="13" t="n">
        <x:v>1</x:v>
      </x:c>
      <x:c r="N101" s="13" t="str">
        <x:v>lmu_computerlinguistik_bsc_stand_2025-09-24.pdf::WP3::Unterrichtssprache</x:v>
      </x:c>
      <x:c r="O101" s="13" t="str">
        <x:v>lmu_computerlinguistik_bsc_stand_2025-09-24.pdf::WP3::Unterrichtssprache | lmu_computerlinguistik_bsc_stand_2025-09-24.pdf::WP3::Englischer Modultitel | lmu_computerlinguistik_bsc_stand_2025-09-24.pdf::WP2::Unterrichtssprache</x:v>
      </x:c>
      <x:c r="P101" s="13" t="n">
        <x:v>1</x:v>
      </x:c>
      <x:c r="Q101" s="13" t="n">
        <x:v>1</x:v>
      </x:c>
      <x:c r="R101" s="15" t="n">
        <x:v>0.3333333333333333</x:v>
      </x:c>
      <x:c r="S101" s="15" t="n">
        <x:v>1</x:v>
      </x:c>
      <x:c r="T101" s="15" t="n">
        <x:v>1</x:v>
      </x:c>
      <x:c r="U101" s="15" t="n">
        <x:v>1</x:v>
      </x:c>
      <x:c r="V101" s="15" t="n">
        <x:v>1</x:v>
      </x:c>
      <x:c r="W101" s="13" t="str">
        <x:v>vollständig</x:v>
      </x:c>
    </x:row>
    <x:row r="102">
      <x:c r="A102" s="13" t="str">
        <x:v>Mehrsprachig n=18</x:v>
      </x:c>
      <x:c r="B102" s="13" t="str">
        <x:v>BM25_domain</x:v>
      </x:c>
      <x:c r="C102" s="13" t="str">
        <x:v>m01_de</x:v>
      </x:c>
      <x:c r="D102" s="13" t="str">
        <x:v>exam</x:v>
      </x:c>
      <x:c r="E102" s="13" t="str">
        <x:v>Welche Prüfungsform hat WP3 Information Retrieval?</x:v>
      </x:c>
      <x:c r="F102" s="13" t="str">
        <x:v>module+section</x:v>
      </x:c>
      <x:c r="G102" s="13" t="str">
        <x:v>lmu_computerlinguistik_bsc_stand_2025-09-24.pdf</x:v>
      </x:c>
      <x:c r="H102" s="13" t="str">
        <x:v>WP3</x:v>
      </x:c>
      <x:c r="I102" s="13" t="str">
        <x:v>Form der Modulprüfung</x:v>
      </x:c>
      <x:c r="J102" s="13" t="str">
        <x:v>lmu_computerlinguistik_bsc_stand_2025-09-24.pdf</x:v>
      </x:c>
      <x:c r="K102" s="13" t="str">
        <x:v>WP3</x:v>
      </x:c>
      <x:c r="L102" s="13" t="str">
        <x:v>Form der Modulprüfung</x:v>
      </x:c>
      <x:c r="M102" s="13" t="n">
        <x:v>1</x:v>
      </x:c>
      <x:c r="N102" s="13" t="str">
        <x:v>lmu_computerlinguistik_bsc_stand_2025-09-24.pdf::WP3::Form der Modulprüfung</x:v>
      </x:c>
      <x:c r="O102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02" s="13" t="n">
        <x:v>1</x:v>
      </x:c>
      <x:c r="Q102" s="13" t="n">
        <x:v>1</x:v>
      </x:c>
      <x:c r="R102" s="15" t="n">
        <x:v>0.3333333333333333</x:v>
      </x:c>
      <x:c r="S102" s="15" t="n">
        <x:v>1</x:v>
      </x:c>
      <x:c r="T102" s="15" t="n">
        <x:v>1</x:v>
      </x:c>
      <x:c r="U102" s="15" t="n">
        <x:v>1</x:v>
      </x:c>
      <x:c r="V102" s="15" t="n">
        <x:v>1</x:v>
      </x:c>
      <x:c r="W102" s="13" t="str">
        <x:v>vollständig</x:v>
      </x:c>
    </x:row>
    <x:row r="103">
      <x:c r="A103" s="13" t="str">
        <x:v>Mehrsprachig n=18</x:v>
      </x:c>
      <x:c r="B103" s="13" t="str">
        <x:v>BM25_domain</x:v>
      </x:c>
      <x:c r="C103" s="13" t="str">
        <x:v>m01_en</x:v>
      </x:c>
      <x:c r="D103" s="13" t="str">
        <x:v>exam</x:v>
      </x:c>
      <x:c r="E103" s="13" t="str">
        <x:v>What is the exam type for WP3 Information Retrieval?</x:v>
      </x:c>
      <x:c r="F103" s="13" t="str">
        <x:v>module+section</x:v>
      </x:c>
      <x:c r="G103" s="13" t="str">
        <x:v>lmu_computerlinguistik_bsc_stand_2025-09-24.pdf</x:v>
      </x:c>
      <x:c r="H103" s="13" t="str">
        <x:v>WP3</x:v>
      </x:c>
      <x:c r="I103" s="13" t="str">
        <x:v>Form der Modulprüfung</x:v>
      </x:c>
      <x:c r="J103" s="13" t="str">
        <x:v>lmu_computerlinguistik_bsc_stand_2025-09-24.pdf</x:v>
      </x:c>
      <x:c r="K103" s="13" t="str">
        <x:v>WP3</x:v>
      </x:c>
      <x:c r="L103" s="13" t="str">
        <x:v>Form der Modulprüfung</x:v>
      </x:c>
      <x:c r="M103" s="13" t="n">
        <x:v>1</x:v>
      </x:c>
      <x:c r="N103" s="13" t="str">
        <x:v>lmu_computerlinguistik_bsc_stand_2025-09-24.pdf::WP3::Form der Modulprüfung</x:v>
      </x:c>
      <x:c r="O103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03" s="13" t="n">
        <x:v>1</x:v>
      </x:c>
      <x:c r="Q103" s="13" t="n">
        <x:v>1</x:v>
      </x:c>
      <x:c r="R103" s="15" t="n">
        <x:v>0.3333333333333333</x:v>
      </x:c>
      <x:c r="S103" s="15" t="n">
        <x:v>1</x:v>
      </x:c>
      <x:c r="T103" s="15" t="n">
        <x:v>1</x:v>
      </x:c>
      <x:c r="U103" s="15" t="n">
        <x:v>1</x:v>
      </x:c>
      <x:c r="V103" s="15" t="n">
        <x:v>1</x:v>
      </x:c>
      <x:c r="W103" s="13" t="str">
        <x:v>vollständig</x:v>
      </x:c>
    </x:row>
    <x:row r="104">
      <x:c r="A104" s="13" t="str">
        <x:v>Mehrsprachig n=18</x:v>
      </x:c>
      <x:c r="B104" s="13" t="str">
        <x:v>BM25_domain</x:v>
      </x:c>
      <x:c r="C104" s="13" t="str">
        <x:v>m01_tr</x:v>
      </x:c>
      <x:c r="D104" s="13" t="str">
        <x:v>exam</x:v>
      </x:c>
      <x:c r="E104" s="13" t="str">
        <x:v>WP3 Information Retrieval dersinin sınav şekli nedir?</x:v>
      </x:c>
      <x:c r="F104" s="13" t="str">
        <x:v>module+section</x:v>
      </x:c>
      <x:c r="G104" s="13" t="str">
        <x:v>lmu_computerlinguistik_bsc_stand_2025-09-24.pdf</x:v>
      </x:c>
      <x:c r="H104" s="13" t="str">
        <x:v>WP3</x:v>
      </x:c>
      <x:c r="I104" s="13" t="str">
        <x:v>Form der Modulprüfung</x:v>
      </x:c>
      <x:c r="J104" s="13" t="str">
        <x:v>lmu_computerlinguistik_bsc_stand_2025-09-24.pdf</x:v>
      </x:c>
      <x:c r="K104" s="13" t="str">
        <x:v>WP3</x:v>
      </x:c>
      <x:c r="L104" s="13" t="str">
        <x:v>Form der Modulprüfung</x:v>
      </x:c>
      <x:c r="M104" s="13" t="n">
        <x:v>1</x:v>
      </x:c>
      <x:c r="N104" s="13" t="str">
        <x:v>lmu_computerlinguistik_bsc_stand_2025-09-24.pdf::WP3::Form der Modulprüfung</x:v>
      </x:c>
      <x:c r="O104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04" s="13" t="n">
        <x:v>1</x:v>
      </x:c>
      <x:c r="Q104" s="13" t="n">
        <x:v>1</x:v>
      </x:c>
      <x:c r="R104" s="15" t="n">
        <x:v>0.3333333333333333</x:v>
      </x:c>
      <x:c r="S104" s="15" t="n">
        <x:v>1</x:v>
      </x:c>
      <x:c r="T104" s="15" t="n">
        <x:v>1</x:v>
      </x:c>
      <x:c r="U104" s="15" t="n">
        <x:v>1</x:v>
      </x:c>
      <x:c r="V104" s="15" t="n">
        <x:v>1</x:v>
      </x:c>
      <x:c r="W104" s="13" t="str">
        <x:v>vollständig</x:v>
      </x:c>
    </x:row>
    <x:row r="105">
      <x:c r="A105" s="13" t="str">
        <x:v>Mehrsprachig n=18</x:v>
      </x:c>
      <x:c r="B105" s="13" t="str">
        <x:v>BM25_domain</x:v>
      </x:c>
      <x:c r="C105" s="13" t="str">
        <x:v>m02_de</x:v>
      </x:c>
      <x:c r="D105" s="13" t="str">
        <x:v>numerical</x:v>
      </x:c>
      <x:c r="E105" s="13" t="str">
        <x:v>Wie viele ECTS hat WP3 Information Retrieval?</x:v>
      </x:c>
      <x:c r="F105" s="13" t="str">
        <x:v>module+section</x:v>
      </x:c>
      <x:c r="G105" s="13" t="str">
        <x:v>lmu_computerlinguistik_bsc_stand_2025-09-24.pdf</x:v>
      </x:c>
      <x:c r="H105" s="13" t="str">
        <x:v>WP3</x:v>
      </x:c>
      <x:c r="I105" s="13" t="str">
        <x:v>Zugeordnete Modulteile</x:v>
      </x:c>
      <x:c r="J105" s="13" t="str">
        <x:v>lmu_computerlinguistik_bsc_stand_2025-09-24.pdf</x:v>
      </x:c>
      <x:c r="K105" s="13" t="str">
        <x:v>WP3</x:v>
      </x:c>
      <x:c r="L105" s="13" t="str">
        <x:v>Zugeordnete Modulteile</x:v>
      </x:c>
      <x:c r="M105" s="13" t="n">
        <x:v>1</x:v>
      </x:c>
      <x:c r="N105" s="13" t="str">
        <x:v>lmu_computerlinguistik_bsc_stand_2025-09-24.pdf::WP3::Zugeordnete Modulteile</x:v>
      </x:c>
      <x:c r="O105" s="13" t="str">
        <x:v>lmu_computerlinguistik_bsc_stand_2025-09-24.pdf::WP3::Zugeordnete Modulteile | lmu_computerlinguistik_bsc_stand_2025-09-24.pdf::P13::Zugeordnete Modulteile | lmu_computerlinguistik_bsc_stand_2025-09-24.pdf::P11::Zugeordnete Modulteile</x:v>
      </x:c>
      <x:c r="P105" s="13" t="n">
        <x:v>1</x:v>
      </x:c>
      <x:c r="Q105" s="13" t="n">
        <x:v>1</x:v>
      </x:c>
      <x:c r="R105" s="15" t="n">
        <x:v>0.3333333333333333</x:v>
      </x:c>
      <x:c r="S105" s="15" t="n">
        <x:v>1</x:v>
      </x:c>
      <x:c r="T105" s="15" t="n">
        <x:v>1</x:v>
      </x:c>
      <x:c r="U105" s="15" t="n">
        <x:v>1</x:v>
      </x:c>
      <x:c r="V105" s="15" t="n">
        <x:v>1</x:v>
      </x:c>
      <x:c r="W105" s="13" t="str">
        <x:v>vollständig</x:v>
      </x:c>
    </x:row>
    <x:row r="106">
      <x:c r="A106" s="13" t="str">
        <x:v>Mehrsprachig n=18</x:v>
      </x:c>
      <x:c r="B106" s="13" t="str">
        <x:v>BM25_domain</x:v>
      </x:c>
      <x:c r="C106" s="13" t="str">
        <x:v>m02_en</x:v>
      </x:c>
      <x:c r="D106" s="13" t="str">
        <x:v>numerical</x:v>
      </x:c>
      <x:c r="E106" s="13" t="str">
        <x:v>How many ECTS credits does WP3 Information Retrieval have?</x:v>
      </x:c>
      <x:c r="F106" s="13" t="str">
        <x:v>module+section</x:v>
      </x:c>
      <x:c r="G106" s="13" t="str">
        <x:v>lmu_computerlinguistik_bsc_stand_2025-09-24.pdf</x:v>
      </x:c>
      <x:c r="H106" s="13" t="str">
        <x:v>WP3</x:v>
      </x:c>
      <x:c r="I106" s="13" t="str">
        <x:v>Zugeordnete Modulteile</x:v>
      </x:c>
      <x:c r="J106" s="13" t="str">
        <x:v>lmu_computerlinguistik_bsc_stand_2025-09-24.pdf</x:v>
      </x:c>
      <x:c r="K106" s="13" t="str">
        <x:v>WP3</x:v>
      </x:c>
      <x:c r="L106" s="13" t="str">
        <x:v>Zugeordnete Modulteile</x:v>
      </x:c>
      <x:c r="M106" s="13" t="n">
        <x:v>1</x:v>
      </x:c>
      <x:c r="N106" s="13" t="str">
        <x:v>lmu_computerlinguistik_bsc_stand_2025-09-24.pdf::WP3::Zugeordnete Modulteile</x:v>
      </x:c>
      <x:c r="O106" s="13" t="str">
        <x:v>lmu_computerlinguistik_bsc_stand_2025-09-24.pdf::WP3::Zugeordnete Modulteile | lmu_computerlinguistik_bsc_stand_2025-09-24.pdf::P13::Zugeordnete Modulteile | lmu_computerlinguistik_bsc_stand_2025-09-24.pdf::P11::Zugeordnete Modulteile</x:v>
      </x:c>
      <x:c r="P106" s="13" t="n">
        <x:v>1</x:v>
      </x:c>
      <x:c r="Q106" s="13" t="n">
        <x:v>1</x:v>
      </x:c>
      <x:c r="R106" s="15" t="n">
        <x:v>0.3333333333333333</x:v>
      </x:c>
      <x:c r="S106" s="15" t="n">
        <x:v>1</x:v>
      </x:c>
      <x:c r="T106" s="15" t="n">
        <x:v>1</x:v>
      </x:c>
      <x:c r="U106" s="15" t="n">
        <x:v>1</x:v>
      </x:c>
      <x:c r="V106" s="15" t="n">
        <x:v>1</x:v>
      </x:c>
      <x:c r="W106" s="13" t="str">
        <x:v>vollständig</x:v>
      </x:c>
    </x:row>
    <x:row r="107">
      <x:c r="A107" s="13" t="str">
        <x:v>Mehrsprachig n=18</x:v>
      </x:c>
      <x:c r="B107" s="13" t="str">
        <x:v>BM25_domain</x:v>
      </x:c>
      <x:c r="C107" s="13" t="str">
        <x:v>m02_tr</x:v>
      </x:c>
      <x:c r="D107" s="13" t="str">
        <x:v>numerical</x:v>
      </x:c>
      <x:c r="E107" s="13" t="str">
        <x:v>WP3 Information Retrieval kaç ECTS kredisi?</x:v>
      </x:c>
      <x:c r="F107" s="13" t="str">
        <x:v>module+section</x:v>
      </x:c>
      <x:c r="G107" s="13" t="str">
        <x:v>lmu_computerlinguistik_bsc_stand_2025-09-24.pdf</x:v>
      </x:c>
      <x:c r="H107" s="13" t="str">
        <x:v>WP3</x:v>
      </x:c>
      <x:c r="I107" s="13" t="str">
        <x:v>Zugeordnete Modulteile</x:v>
      </x:c>
      <x:c r="J107" s="13" t="str">
        <x:v>lmu_computerlinguistik_bsc_stand_2025-09-24.pdf</x:v>
      </x:c>
      <x:c r="K107" s="13" t="str">
        <x:v>WP3</x:v>
      </x:c>
      <x:c r="L107" s="13" t="str">
        <x:v>Zugeordnete Modulteile</x:v>
      </x:c>
      <x:c r="M107" s="13" t="n">
        <x:v>1</x:v>
      </x:c>
      <x:c r="N107" s="13" t="str">
        <x:v>lmu_computerlinguistik_bsc_stand_2025-09-24.pdf::WP3::Zugeordnete Modulteile</x:v>
      </x:c>
      <x:c r="O107" s="13" t="str">
        <x:v>lmu_computerlinguistik_bsc_stand_2025-09-24.pdf::WP3::Zugeordnete Modulteile | lmu_computerlinguistik_bsc_stand_2025-09-24.pdf::P13::Zugeordnete Modulteile | lmu_computerlinguistik_bsc_stand_2025-09-24.pdf::P11::Zugeordnete Modulteile</x:v>
      </x:c>
      <x:c r="P107" s="13" t="n">
        <x:v>1</x:v>
      </x:c>
      <x:c r="Q107" s="13" t="n">
        <x:v>1</x:v>
      </x:c>
      <x:c r="R107" s="15" t="n">
        <x:v>0.3333333333333333</x:v>
      </x:c>
      <x:c r="S107" s="15" t="n">
        <x:v>1</x:v>
      </x:c>
      <x:c r="T107" s="15" t="n">
        <x:v>1</x:v>
      </x:c>
      <x:c r="U107" s="15" t="n">
        <x:v>1</x:v>
      </x:c>
      <x:c r="V107" s="15" t="n">
        <x:v>1</x:v>
      </x:c>
      <x:c r="W107" s="13" t="str">
        <x:v>vollständig</x:v>
      </x:c>
    </x:row>
    <x:row r="108">
      <x:c r="A108" s="13" t="str">
        <x:v>Mehrsprachig n=18</x:v>
      </x:c>
      <x:c r="B108" s="13" t="str">
        <x:v>BM25_domain</x:v>
      </x:c>
      <x:c r="C108" s="13" t="str">
        <x:v>m03_de</x:v>
      </x:c>
      <x:c r="D108" s="13" t="str">
        <x:v>responsible_person</x:v>
      </x:c>
      <x:c r="E108" s="13" t="str">
        <x:v>Wer ist modulverantwortlich für P10 Statistische Methoden in der Sprachverarbeitung?</x:v>
      </x:c>
      <x:c r="F108" s="13" t="str">
        <x:v>module+section</x:v>
      </x:c>
      <x:c r="G108" s="13" t="str">
        <x:v>lmu_computerlinguistik_bsc_stand_2025-09-24.pdf</x:v>
      </x:c>
      <x:c r="H108" s="13" t="str">
        <x:v>P10</x:v>
      </x:c>
      <x:c r="I108" s="13" t="str">
        <x:v>Modulverantwortliche/r</x:v>
      </x:c>
      <x:c r="J108" s="13" t="str">
        <x:v>lmu_computerlinguistik_bsc_stand_2025-09-24.pdf</x:v>
      </x:c>
      <x:c r="K108" s="13" t="str">
        <x:v>P10</x:v>
      </x:c>
      <x:c r="L108" s="13" t="str">
        <x:v>Modulverantwortliche/r</x:v>
      </x:c>
      <x:c r="M108" s="13" t="n">
        <x:v>1</x:v>
      </x:c>
      <x:c r="N108" s="13" t="str">
        <x:v>lmu_computerlinguistik_bsc_stand_2025-09-24.pdf::P10::Modulverantwortliche/r</x:v>
      </x:c>
      <x:c r="O108" s="13" t="str">
        <x:v>lmu_computerlinguistik_bsc_stand_2025-09-24.pdf::P10::Modulverantwortliche/r | lmu_computerlinguistik_bsc_stand_2025-09-24.pdf::P10::header | lmu_computerlinguistik_bsc_stand_2025-09-24.pdf::P10::Wahlpflichtregelungen</x:v>
      </x:c>
      <x:c r="P108" s="13" t="n">
        <x:v>1</x:v>
      </x:c>
      <x:c r="Q108" s="13" t="n">
        <x:v>1</x:v>
      </x:c>
      <x:c r="R108" s="15" t="n">
        <x:v>0.3333333333333333</x:v>
      </x:c>
      <x:c r="S108" s="15" t="n">
        <x:v>1</x:v>
      </x:c>
      <x:c r="T108" s="15" t="n">
        <x:v>1</x:v>
      </x:c>
      <x:c r="U108" s="15" t="n">
        <x:v>1</x:v>
      </x:c>
      <x:c r="V108" s="15" t="n">
        <x:v>1</x:v>
      </x:c>
      <x:c r="W108" s="13" t="str">
        <x:v>vollständig</x:v>
      </x:c>
    </x:row>
    <x:row r="109">
      <x:c r="A109" s="13" t="str">
        <x:v>Mehrsprachig n=18</x:v>
      </x:c>
      <x:c r="B109" s="13" t="str">
        <x:v>BM25_domain</x:v>
      </x:c>
      <x:c r="C109" s="13" t="str">
        <x:v>m03_en</x:v>
      </x:c>
      <x:c r="D109" s="13" t="str">
        <x:v>responsible_person</x:v>
      </x:c>
      <x:c r="E109" s="13" t="str">
        <x:v>Who is responsible for P10 Statistical Methods in Natural Language Processing?</x:v>
      </x:c>
      <x:c r="F109" s="13" t="str">
        <x:v>module+section</x:v>
      </x:c>
      <x:c r="G109" s="13" t="str">
        <x:v>lmu_computerlinguistik_bsc_stand_2025-09-24.pdf</x:v>
      </x:c>
      <x:c r="H109" s="13" t="str">
        <x:v>P10</x:v>
      </x:c>
      <x:c r="I109" s="13" t="str">
        <x:v>Modulverantwortliche/r</x:v>
      </x:c>
      <x:c r="J109" s="13" t="str">
        <x:v>lmu_computerlinguistik_bsc_stand_2025-09-24.pdf</x:v>
      </x:c>
      <x:c r="K109" s="13" t="str">
        <x:v>P10</x:v>
      </x:c>
      <x:c r="L109" s="13" t="str">
        <x:v>Unterrichtssprache</x:v>
      </x:c>
      <x:c r="M109" s="13"/>
      <x:c r="N109" s="13" t="str">
        <x:v>lmu_computerlinguistik_bsc_stand_2025-09-24.pdf::P10::Modulverantwortliche/r</x:v>
      </x:c>
      <x:c r="O109" s="13" t="str">
        <x:v>lmu_computerlinguistik_bsc_stand_2025-09-24.pdf::P10::Unterrichtssprache | lmu_computerlinguistik_bsc_stand_2025-09-24.pdf::P1::Unterrichtssprache | lmu_computerlinguistik_bsc_stand_2025-09-24.pdf::P2::Unterrichtssprache</x:v>
      </x:c>
      <x:c r="P109" s="13" t="n">
        <x:v>1</x:v>
      </x:c>
      <x:c r="Q109" s="13"/>
      <x:c r="R109" s="15"/>
      <x:c r="S109" s="15"/>
      <x:c r="T109" s="15"/>
      <x:c r="U109" s="15"/>
      <x:c r="V109" s="15"/>
      <x:c r="W109" s="13" t="str">
        <x:v>nicht gefunden</x:v>
      </x:c>
    </x:row>
    <x:row r="110">
      <x:c r="A110" s="13" t="str">
        <x:v>Mehrsprachig n=18</x:v>
      </x:c>
      <x:c r="B110" s="13" t="str">
        <x:v>BM25_domain</x:v>
      </x:c>
      <x:c r="C110" s="13" t="str">
        <x:v>m03_tr</x:v>
      </x:c>
      <x:c r="D110" s="13" t="str">
        <x:v>responsible_person</x:v>
      </x:c>
      <x:c r="E110" s="13" t="str">
        <x:v>P10 Statistische Methoden in der Sprachverarbeitung modülünden kim sorumludur?</x:v>
      </x:c>
      <x:c r="F110" s="13" t="str">
        <x:v>module+section</x:v>
      </x:c>
      <x:c r="G110" s="13" t="str">
        <x:v>lmu_computerlinguistik_bsc_stand_2025-09-24.pdf</x:v>
      </x:c>
      <x:c r="H110" s="13" t="str">
        <x:v>P10</x:v>
      </x:c>
      <x:c r="I110" s="13" t="str">
        <x:v>Modulverantwortliche/r</x:v>
      </x:c>
      <x:c r="J110" s="13" t="str">
        <x:v>lmu_computerlinguistik_bsc_stand_2025-09-24.pdf</x:v>
      </x:c>
      <x:c r="K110" s="13" t="str">
        <x:v>P10</x:v>
      </x:c>
      <x:c r="L110" s="13" t="str">
        <x:v>Modulverantwortliche/r</x:v>
      </x:c>
      <x:c r="M110" s="13" t="n">
        <x:v>1</x:v>
      </x:c>
      <x:c r="N110" s="13" t="str">
        <x:v>lmu_computerlinguistik_bsc_stand_2025-09-24.pdf::P10::Modulverantwortliche/r</x:v>
      </x:c>
      <x:c r="O110" s="13" t="str">
        <x:v>lmu_computerlinguistik_bsc_stand_2025-09-24.pdf::P10::Modulverantwortliche/r | lmu_computerlinguistik_bsc_stand_2025-09-24.pdf::P10::header | lmu_computerlinguistik_bsc_stand_2025-09-24.pdf::P10::Wahlpflichtregelungen</x:v>
      </x:c>
      <x:c r="P110" s="13" t="n">
        <x:v>1</x:v>
      </x:c>
      <x:c r="Q110" s="13" t="n">
        <x:v>1</x:v>
      </x:c>
      <x:c r="R110" s="15" t="n">
        <x:v>0.3333333333333333</x:v>
      </x:c>
      <x:c r="S110" s="15" t="n">
        <x:v>1</x:v>
      </x:c>
      <x:c r="T110" s="15" t="n">
        <x:v>1</x:v>
      </x:c>
      <x:c r="U110" s="15" t="n">
        <x:v>1</x:v>
      </x:c>
      <x:c r="V110" s="15" t="n">
        <x:v>1</x:v>
      </x:c>
      <x:c r="W110" s="13" t="str">
        <x:v>vollständig</x:v>
      </x:c>
    </x:row>
    <x:row r="111">
      <x:c r="A111" s="13" t="str">
        <x:v>Mehrsprachig n=18</x:v>
      </x:c>
      <x:c r="B111" s="13" t="str">
        <x:v>BM25_domain</x:v>
      </x:c>
      <x:c r="C111" s="13" t="str">
        <x:v>m04_de</x:v>
      </x:c>
      <x:c r="D111" s="13" t="str">
        <x:v>semester</x:v>
      </x:c>
      <x:c r="E111" s="13" t="str">
        <x:v>In welchem Semester wird P8 empfohlen?</x:v>
      </x:c>
      <x:c r="F111" s="13" t="str">
        <x:v>module+section</x:v>
      </x:c>
      <x:c r="G111" s="13" t="str">
        <x:v>lmu_computerlinguistik_bsc_stand_2025-09-24.pdf</x:v>
      </x:c>
      <x:c r="H111" s="13" t="str">
        <x:v>P8</x:v>
      </x:c>
      <x:c r="I111" s="13" t="str">
        <x:v>Zeitpunkt im Studienverlauf</x:v>
      </x:c>
      <x:c r="J111" s="13" t="str">
        <x:v>lmu_computerlinguistik_bsc_stand_2025-09-24.pdf</x:v>
      </x:c>
      <x:c r="K111" s="13" t="str">
        <x:v>P8</x:v>
      </x:c>
      <x:c r="L111" s="13" t="str">
        <x:v>Zeitpunkt im Studienverlauf</x:v>
      </x:c>
      <x:c r="M111" s="13" t="n">
        <x:v>1</x:v>
      </x:c>
      <x:c r="N111" s="13" t="str">
        <x:v>lmu_computerlinguistik_bsc_stand_2025-09-24.pdf::P8::Zeitpunkt im Studienverlauf</x:v>
      </x:c>
      <x:c r="O111" s="13" t="str">
        <x:v>lmu_computerlinguistik_bsc_stand_2025-09-24.pdf::P8::Zeitpunkt im Studienverlauf | lmu_computerlinguistik_bsc_stand_2025-09-24.pdf::P1::Zeitpunkt im Studienverlauf | lmu_computerlinguistik_bsc_stand_2025-09-24.pdf::P2::Zeitpunkt im Studienverlauf</x:v>
      </x:c>
      <x:c r="P111" s="13" t="n">
        <x:v>1</x:v>
      </x:c>
      <x:c r="Q111" s="13" t="n">
        <x:v>1</x:v>
      </x:c>
      <x:c r="R111" s="15" t="n">
        <x:v>0.3333333333333333</x:v>
      </x:c>
      <x:c r="S111" s="15" t="n">
        <x:v>1</x:v>
      </x:c>
      <x:c r="T111" s="15" t="n">
        <x:v>1</x:v>
      </x:c>
      <x:c r="U111" s="15" t="n">
        <x:v>1</x:v>
      </x:c>
      <x:c r="V111" s="15" t="n">
        <x:v>1</x:v>
      </x:c>
      <x:c r="W111" s="13" t="str">
        <x:v>vollständig</x:v>
      </x:c>
    </x:row>
    <x:row r="112">
      <x:c r="A112" s="13" t="str">
        <x:v>Mehrsprachig n=18</x:v>
      </x:c>
      <x:c r="B112" s="13" t="str">
        <x:v>BM25_domain</x:v>
      </x:c>
      <x:c r="C112" s="13" t="str">
        <x:v>m04_en</x:v>
      </x:c>
      <x:c r="D112" s="13" t="str">
        <x:v>semester</x:v>
      </x:c>
      <x:c r="E112" s="13" t="str">
        <x:v>In which semester is P8 recommended?</x:v>
      </x:c>
      <x:c r="F112" s="13" t="str">
        <x:v>module+section</x:v>
      </x:c>
      <x:c r="G112" s="13" t="str">
        <x:v>lmu_computerlinguistik_bsc_stand_2025-09-24.pdf</x:v>
      </x:c>
      <x:c r="H112" s="13" t="str">
        <x:v>P8</x:v>
      </x:c>
      <x:c r="I112" s="13" t="str">
        <x:v>Zeitpunkt im Studienverlauf</x:v>
      </x:c>
      <x:c r="J112" s="13" t="str">
        <x:v>lmu_computerlinguistik_bsc_stand_2025-09-24.pdf</x:v>
      </x:c>
      <x:c r="K112" s="13" t="str">
        <x:v>P8</x:v>
      </x:c>
      <x:c r="L112" s="13" t="str">
        <x:v>Zeitpunkt im Studienverlauf</x:v>
      </x:c>
      <x:c r="M112" s="13" t="n">
        <x:v>1</x:v>
      </x:c>
      <x:c r="N112" s="13" t="str">
        <x:v>lmu_computerlinguistik_bsc_stand_2025-09-24.pdf::P8::Zeitpunkt im Studienverlauf</x:v>
      </x:c>
      <x:c r="O112" s="13" t="str">
        <x:v>lmu_computerlinguistik_bsc_stand_2025-09-24.pdf::P8::Zeitpunkt im Studienverlauf | lmu_computerlinguistik_bsc_stand_2025-09-24.pdf::P1::Zeitpunkt im Studienverlauf | lmu_computerlinguistik_bsc_stand_2025-09-24.pdf::P2::Zeitpunkt im Studienverlauf</x:v>
      </x:c>
      <x:c r="P112" s="13" t="n">
        <x:v>1</x:v>
      </x:c>
      <x:c r="Q112" s="13" t="n">
        <x:v>1</x:v>
      </x:c>
      <x:c r="R112" s="15" t="n">
        <x:v>0.3333333333333333</x:v>
      </x:c>
      <x:c r="S112" s="15" t="n">
        <x:v>1</x:v>
      </x:c>
      <x:c r="T112" s="15" t="n">
        <x:v>1</x:v>
      </x:c>
      <x:c r="U112" s="15" t="n">
        <x:v>1</x:v>
      </x:c>
      <x:c r="V112" s="15" t="n">
        <x:v>1</x:v>
      </x:c>
      <x:c r="W112" s="13" t="str">
        <x:v>vollständig</x:v>
      </x:c>
    </x:row>
    <x:row r="113">
      <x:c r="A113" s="13" t="str">
        <x:v>Mehrsprachig n=18</x:v>
      </x:c>
      <x:c r="B113" s="13" t="str">
        <x:v>BM25_domain</x:v>
      </x:c>
      <x:c r="C113" s="13" t="str">
        <x:v>m04_tr</x:v>
      </x:c>
      <x:c r="D113" s="13" t="str">
        <x:v>semester</x:v>
      </x:c>
      <x:c r="E113" s="13" t="str">
        <x:v>P8 hangi dönemde öneriliyor?</x:v>
      </x:c>
      <x:c r="F113" s="13" t="str">
        <x:v>module+section</x:v>
      </x:c>
      <x:c r="G113" s="13" t="str">
        <x:v>lmu_computerlinguistik_bsc_stand_2025-09-24.pdf</x:v>
      </x:c>
      <x:c r="H113" s="13" t="str">
        <x:v>P8</x:v>
      </x:c>
      <x:c r="I113" s="13" t="str">
        <x:v>Zeitpunkt im Studienverlauf</x:v>
      </x:c>
      <x:c r="J113" s="13" t="str">
        <x:v>lmu_computerlinguistik_bsc_stand_2025-09-24.pdf</x:v>
      </x:c>
      <x:c r="K113" s="13" t="str">
        <x:v>P8</x:v>
      </x:c>
      <x:c r="L113" s="13" t="str">
        <x:v>Zeitpunkt im Studienverlauf</x:v>
      </x:c>
      <x:c r="M113" s="13" t="n">
        <x:v>1</x:v>
      </x:c>
      <x:c r="N113" s="13" t="str">
        <x:v>lmu_computerlinguistik_bsc_stand_2025-09-24.pdf::P8::Zeitpunkt im Studienverlauf</x:v>
      </x:c>
      <x:c r="O113" s="13" t="str">
        <x:v>lmu_computerlinguistik_bsc_stand_2025-09-24.pdf::P8::Zeitpunkt im Studienverlauf | lmu_computerlinguistik_bsc_stand_2025-09-24.pdf::P3::Zeitpunkt im Studienverlauf | lmu_computerlinguistik_bsc_stand_2025-09-24.pdf::P11::Zeitpunkt im Studienverlauf</x:v>
      </x:c>
      <x:c r="P113" s="13" t="n">
        <x:v>1</x:v>
      </x:c>
      <x:c r="Q113" s="13" t="n">
        <x:v>1</x:v>
      </x:c>
      <x:c r="R113" s="15" t="n">
        <x:v>0.3333333333333333</x:v>
      </x:c>
      <x:c r="S113" s="15" t="n">
        <x:v>1</x:v>
      </x:c>
      <x:c r="T113" s="15" t="n">
        <x:v>1</x:v>
      </x:c>
      <x:c r="U113" s="15" t="n">
        <x:v>1</x:v>
      </x:c>
      <x:c r="V113" s="15" t="n">
        <x:v>1</x:v>
      </x:c>
      <x:c r="W113" s="13" t="str">
        <x:v>vollständig</x:v>
      </x:c>
    </x:row>
    <x:row r="114">
      <x:c r="A114" s="13" t="str">
        <x:v>Mehrsprachig n=18</x:v>
      </x:c>
      <x:c r="B114" s="13" t="str">
        <x:v>BM25_domain</x:v>
      </x:c>
      <x:c r="C114" s="13" t="str">
        <x:v>m05_de</x:v>
      </x:c>
      <x:c r="D114" s="13" t="str">
        <x:v>content</x:v>
      </x:c>
      <x:c r="E114" s="13" t="str">
        <x:v>Welche Inhalte behandelt P11 Informationsextraktion?</x:v>
      </x:c>
      <x:c r="F114" s="13" t="str">
        <x:v>module+section</x:v>
      </x:c>
      <x:c r="G114" s="13" t="str">
        <x:v>lmu_computerlinguistik_bsc_stand_2025-09-24.pdf</x:v>
      </x:c>
      <x:c r="H114" s="13" t="str">
        <x:v>P11</x:v>
      </x:c>
      <x:c r="I114" s="13" t="str">
        <x:v>Inhalte</x:v>
      </x:c>
      <x:c r="J114" s="13" t="str">
        <x:v>lmu_computerlinguistik_bsc_stand_2025-09-24.pdf</x:v>
      </x:c>
      <x:c r="K114" s="13" t="str">
        <x:v>P12</x:v>
      </x:c>
      <x:c r="L114" s="13" t="str">
        <x:v>Inhalte</x:v>
      </x:c>
      <x:c r="M114" s="13" t="n">
        <x:v>3</x:v>
      </x:c>
      <x:c r="N114" s="13" t="str">
        <x:v>lmu_computerlinguistik_bsc_stand_2025-09-24.pdf::P11::Inhalte</x:v>
      </x:c>
      <x:c r="O114" s="13" t="str">
        <x:v>lmu_computerlinguistik_bsc_stand_2025-09-24.pdf::P12::Inhalte | lmu_computerlinguistik_bsc_stand_2025-09-24.pdf::P7::Inhalte | lmu_computerlinguistik_bsc_stand_2025-09-24.pdf::P11::Inhalte</x:v>
      </x:c>
      <x:c r="P114" s="13" t="n">
        <x:v>1</x:v>
      </x:c>
      <x:c r="Q114" s="13" t="n">
        <x:v>1</x:v>
      </x:c>
      <x:c r="R114" s="15" t="n">
        <x:v>0.3333333333333333</x:v>
      </x:c>
      <x:c r="S114" s="15" t="n">
        <x:v>1</x:v>
      </x:c>
      <x:c r="T114" s="15" t="n">
        <x:v>0.3333333333333333</x:v>
      </x:c>
      <x:c r="U114" s="15" t="n">
        <x:v>0.5</x:v>
      </x:c>
      <x:c r="V114" s="15"/>
      <x:c r="W114" s="13" t="str">
        <x:v>vollständig</x:v>
      </x:c>
    </x:row>
    <x:row r="115">
      <x:c r="A115" s="13" t="str">
        <x:v>Mehrsprachig n=18</x:v>
      </x:c>
      <x:c r="B115" s="13" t="str">
        <x:v>BM25_domain</x:v>
      </x:c>
      <x:c r="C115" s="13" t="str">
        <x:v>m05_en</x:v>
      </x:c>
      <x:c r="D115" s="13" t="str">
        <x:v>content</x:v>
      </x:c>
      <x:c r="E115" s="13" t="str">
        <x:v>What topics are covered in P11 Information Extraction?</x:v>
      </x:c>
      <x:c r="F115" s="13" t="str">
        <x:v>module+section</x:v>
      </x:c>
      <x:c r="G115" s="13" t="str">
        <x:v>lmu_computerlinguistik_bsc_stand_2025-09-24.pdf</x:v>
      </x:c>
      <x:c r="H115" s="13" t="str">
        <x:v>P11</x:v>
      </x:c>
      <x:c r="I115" s="13" t="str">
        <x:v>Inhalte</x:v>
      </x:c>
      <x:c r="J115" s="13" t="str">
        <x:v>lmu_computerlinguistik_bsc_stand_2025-09-24.pdf</x:v>
      </x:c>
      <x:c r="K115" s="13" t="str">
        <x:v>WP3</x:v>
      </x:c>
      <x:c r="L115" s="13" t="str">
        <x:v>Inhalte</x:v>
      </x:c>
      <x:c r="M115" s="13" t="n">
        <x:v>3</x:v>
      </x:c>
      <x:c r="N115" s="13" t="str">
        <x:v>lmu_computerlinguistik_bsc_stand_2025-09-24.pdf::P11::Inhalte</x:v>
      </x:c>
      <x:c r="O115" s="13" t="str">
        <x:v>lmu_computerlinguistik_bsc_stand_2025-09-24.pdf::WP3::Inhalte | lmu_computerlinguistik_bsc_stand_2025-09-24.pdf::P12::Inhalte | lmu_computerlinguistik_bsc_stand_2025-09-24.pdf::P11::Inhalte</x:v>
      </x:c>
      <x:c r="P115" s="13" t="n">
        <x:v>1</x:v>
      </x:c>
      <x:c r="Q115" s="13" t="n">
        <x:v>1</x:v>
      </x:c>
      <x:c r="R115" s="15" t="n">
        <x:v>0.3333333333333333</x:v>
      </x:c>
      <x:c r="S115" s="15" t="n">
        <x:v>1</x:v>
      </x:c>
      <x:c r="T115" s="15" t="n">
        <x:v>0.3333333333333333</x:v>
      </x:c>
      <x:c r="U115" s="15" t="n">
        <x:v>0.5</x:v>
      </x:c>
      <x:c r="V115" s="15"/>
      <x:c r="W115" s="13" t="str">
        <x:v>vollständig</x:v>
      </x:c>
    </x:row>
    <x:row r="116">
      <x:c r="A116" s="13" t="str">
        <x:v>Mehrsprachig n=18</x:v>
      </x:c>
      <x:c r="B116" s="13" t="str">
        <x:v>BM25_domain</x:v>
      </x:c>
      <x:c r="C116" s="13" t="str">
        <x:v>m05_tr</x:v>
      </x:c>
      <x:c r="D116" s="13" t="str">
        <x:v>content</x:v>
      </x:c>
      <x:c r="E116" s="13" t="str">
        <x:v>P11 Informationsextraktion hangi konuları içeriyor?</x:v>
      </x:c>
      <x:c r="F116" s="13" t="str">
        <x:v>module+section</x:v>
      </x:c>
      <x:c r="G116" s="13" t="str">
        <x:v>lmu_computerlinguistik_bsc_stand_2025-09-24.pdf</x:v>
      </x:c>
      <x:c r="H116" s="13" t="str">
        <x:v>P11</x:v>
      </x:c>
      <x:c r="I116" s="13" t="str">
        <x:v>Inhalte</x:v>
      </x:c>
      <x:c r="J116" s="13" t="str">
        <x:v>lmu_computerlinguistik_bsc_stand_2025-09-24.pdf</x:v>
      </x:c>
      <x:c r="K116" s="13" t="str">
        <x:v>P12</x:v>
      </x:c>
      <x:c r="L116" s="13" t="str">
        <x:v>Inhalte</x:v>
      </x:c>
      <x:c r="M116" s="13" t="n">
        <x:v>2</x:v>
      </x:c>
      <x:c r="N116" s="13" t="str">
        <x:v>lmu_computerlinguistik_bsc_stand_2025-09-24.pdf::P11::Inhalte</x:v>
      </x:c>
      <x:c r="O116" s="13" t="str">
        <x:v>lmu_computerlinguistik_bsc_stand_2025-09-24.pdf::P12::Inhalte | lmu_computerlinguistik_bsc_stand_2025-09-24.pdf::P11::Inhalte | lmu_computerlinguistik_bsc_stand_2025-09-24.pdf::WP3::Inhalte</x:v>
      </x:c>
      <x:c r="P116" s="13" t="n">
        <x:v>1</x:v>
      </x:c>
      <x:c r="Q116" s="13" t="n">
        <x:v>1</x:v>
      </x:c>
      <x:c r="R116" s="15" t="n">
        <x:v>0.3333333333333333</x:v>
      </x:c>
      <x:c r="S116" s="15" t="n">
        <x:v>1</x:v>
      </x:c>
      <x:c r="T116" s="15" t="n">
        <x:v>0.5</x:v>
      </x:c>
      <x:c r="U116" s="15" t="n">
        <x:v>0.6309297535714575</x:v>
      </x:c>
      <x:c r="V116" s="15"/>
      <x:c r="W116" s="13" t="str">
        <x:v>vollständig</x:v>
      </x:c>
    </x:row>
    <x:row r="117">
      <x:c r="A117" s="13" t="str">
        <x:v>Mehrsprachig n=18</x:v>
      </x:c>
      <x:c r="B117" s="13" t="str">
        <x:v>BM25_domain</x:v>
      </x:c>
      <x:c r="C117" s="13" t="str">
        <x:v>m06_de</x:v>
      </x:c>
      <x:c r="D117" s="13" t="str">
        <x:v>broad_topic</x:v>
      </x:c>
      <x:c r="E117" s="13" t="str">
        <x:v>Welche Module behandeln Informationssuche oder Suchmaschinen?</x:v>
      </x:c>
      <x:c r="F117" s="13" t="str">
        <x:v>module+section</x:v>
      </x:c>
      <x:c r="G117" s="13" t="str">
        <x:v>lmu_computerlinguistik_bsc_stand_2025-09-24.pdf</x:v>
      </x:c>
      <x:c r="H117" s="13" t="str">
        <x:v>WP3</x:v>
      </x:c>
      <x:c r="I117" s="13" t="str">
        <x:v>Inhalte</x:v>
      </x:c>
      <x:c r="J117" s="13" t="str">
        <x:v>lmu_computerlinguistik_bsc_stand_2025-09-24.pdf</x:v>
      </x:c>
      <x:c r="K117" s="13" t="str">
        <x:v>WP3</x:v>
      </x:c>
      <x:c r="L117" s="13" t="str">
        <x:v>Qualifikationsziele</x:v>
      </x:c>
      <x:c r="M117" s="13" t="n">
        <x:v>3</x:v>
      </x:c>
      <x:c r="N117" s="13" t="str">
        <x:v>lmu_computerlinguistik_bsc_stand_2025-09-24.pdf::WP3::Inhalte</x:v>
      </x:c>
      <x:c r="O117" s="13" t="str">
        <x:v>lmu_computerlinguistik_bsc_stand_2025-09-24.pdf::WP3::Qualifikationsziele | lmu_computerlinguistik_bsc_stand_2025-09-24.pdf::P13::Englischer Modultitel | lmu_computerlinguistik_bsc_stand_2025-09-24.pdf::WP3::Inhalte</x:v>
      </x:c>
      <x:c r="P117" s="13" t="n">
        <x:v>1</x:v>
      </x:c>
      <x:c r="Q117" s="13" t="n">
        <x:v>1</x:v>
      </x:c>
      <x:c r="R117" s="15" t="n">
        <x:v>0.3333333333333333</x:v>
      </x:c>
      <x:c r="S117" s="15" t="n">
        <x:v>1</x:v>
      </x:c>
      <x:c r="T117" s="15" t="n">
        <x:v>0.3333333333333333</x:v>
      </x:c>
      <x:c r="U117" s="15" t="n">
        <x:v>0.5</x:v>
      </x:c>
      <x:c r="V117" s="15"/>
      <x:c r="W117" s="13" t="str">
        <x:v>vollständig</x:v>
      </x:c>
    </x:row>
    <x:row r="118">
      <x:c r="A118" s="13" t="str">
        <x:v>Mehrsprachig n=18</x:v>
      </x:c>
      <x:c r="B118" s="13" t="str">
        <x:v>BM25_domain</x:v>
      </x:c>
      <x:c r="C118" s="13" t="str">
        <x:v>m06_en</x:v>
      </x:c>
      <x:c r="D118" s="13" t="str">
        <x:v>broad_topic</x:v>
      </x:c>
      <x:c r="E118" s="13" t="str">
        <x:v>Which modules cover information search or search engines?</x:v>
      </x:c>
      <x:c r="F118" s="13" t="str">
        <x:v>module+section</x:v>
      </x:c>
      <x:c r="G118" s="13" t="str">
        <x:v>lmu_computerlinguistik_bsc_stand_2025-09-24.pdf</x:v>
      </x:c>
      <x:c r="H118" s="13" t="str">
        <x:v>WP3</x:v>
      </x:c>
      <x:c r="I118" s="13" t="str">
        <x:v>Inhalte</x:v>
      </x:c>
      <x:c r="J118" s="13" t="str">
        <x:v>lmu_computerlinguistik_bsc_stand_2025-09-24.pdf</x:v>
      </x:c>
      <x:c r="K118" s="13" t="str">
        <x:v>WP3</x:v>
      </x:c>
      <x:c r="L118" s="13" t="str">
        <x:v>Inhalte</x:v>
      </x:c>
      <x:c r="M118" s="13" t="n">
        <x:v>1</x:v>
      </x:c>
      <x:c r="N118" s="13" t="str">
        <x:v>lmu_computerlinguistik_bsc_stand_2025-09-24.pdf::WP3::Inhalte</x:v>
      </x:c>
      <x:c r="O118" s="13" t="str">
        <x:v>lmu_computerlinguistik_bsc_stand_2025-09-24.pdf::WP3::Inhalte | lmu_computerlinguistik_bsc_stand_2025-09-24.pdf::P12::Inhalte | lmu_computerlinguistik_bsc_stand_2025-09-24.pdf::P7::Inhalte</x:v>
      </x:c>
      <x:c r="P118" s="13" t="n">
        <x:v>1</x:v>
      </x:c>
      <x:c r="Q118" s="13" t="n">
        <x:v>1</x:v>
      </x:c>
      <x:c r="R118" s="15" t="n">
        <x:v>0.3333333333333333</x:v>
      </x:c>
      <x:c r="S118" s="15" t="n">
        <x:v>1</x:v>
      </x:c>
      <x:c r="T118" s="15" t="n">
        <x:v>1</x:v>
      </x:c>
      <x:c r="U118" s="15" t="n">
        <x:v>1</x:v>
      </x:c>
      <x:c r="V118" s="15" t="n">
        <x:v>1</x:v>
      </x:c>
      <x:c r="W118" s="13" t="str">
        <x:v>vollständig</x:v>
      </x:c>
    </x:row>
    <x:row r="119">
      <x:c r="A119" s="13" t="str">
        <x:v>Mehrsprachig n=18</x:v>
      </x:c>
      <x:c r="B119" s="13" t="str">
        <x:v>BM25_domain</x:v>
      </x:c>
      <x:c r="C119" s="13" t="str">
        <x:v>m06_tr</x:v>
      </x:c>
      <x:c r="D119" s="13" t="str">
        <x:v>broad_topic</x:v>
      </x:c>
      <x:c r="E119" s="13" t="str">
        <x:v>Hangi modüller bilgi arama veya arama motorlarını ele alıyor?</x:v>
      </x:c>
      <x:c r="F119" s="13" t="str">
        <x:v>module+section</x:v>
      </x:c>
      <x:c r="G119" s="13" t="str">
        <x:v>lmu_computerlinguistik_bsc_stand_2025-09-24.pdf</x:v>
      </x:c>
      <x:c r="H119" s="13" t="str">
        <x:v>WP3</x:v>
      </x:c>
      <x:c r="I119" s="13" t="str">
        <x:v>Inhalte</x:v>
      </x:c>
      <x:c r="J119" s="13" t="str">
        <x:v>lmu_computerlinguistik_bsc_stand_2025-09-24.pdf</x:v>
      </x:c>
      <x:c r="K119" s="13" t="str">
        <x:v>P12</x:v>
      </x:c>
      <x:c r="L119" s="13" t="str">
        <x:v>Inhalte</x:v>
      </x:c>
      <x:c r="M119" s="13" t="n">
        <x:v>2</x:v>
      </x:c>
      <x:c r="N119" s="13" t="str">
        <x:v>lmu_computerlinguistik_bsc_stand_2025-09-24.pdf::WP3::Inhalte</x:v>
      </x:c>
      <x:c r="O119" s="13" t="str">
        <x:v>lmu_computerlinguistik_bsc_stand_2025-09-24.pdf::P12::Inhalte | lmu_computerlinguistik_bsc_stand_2025-09-24.pdf::WP3::Inhalte | lmu_computerlinguistik_bsc_stand_2025-09-24.pdf::P7::Inhalte</x:v>
      </x:c>
      <x:c r="P119" s="13" t="n">
        <x:v>1</x:v>
      </x:c>
      <x:c r="Q119" s="13" t="n">
        <x:v>1</x:v>
      </x:c>
      <x:c r="R119" s="15" t="n">
        <x:v>0.3333333333333333</x:v>
      </x:c>
      <x:c r="S119" s="15" t="n">
        <x:v>1</x:v>
      </x:c>
      <x:c r="T119" s="15" t="n">
        <x:v>0.5</x:v>
      </x:c>
      <x:c r="U119" s="15" t="n">
        <x:v>0.6309297535714575</x:v>
      </x:c>
      <x:c r="V119" s="15"/>
      <x:c r="W119" s="13" t="str">
        <x:v>vollständig</x:v>
      </x:c>
    </x:row>
    <x:row r="120">
      <x:c r="A120" s="13" t="str">
        <x:v>Mehrsprachig n=18</x:v>
      </x:c>
      <x:c r="B120" s="13" t="str">
        <x:v>Dense</x:v>
      </x:c>
      <x:c r="C120" s="13" t="str">
        <x:v>m01_de</x:v>
      </x:c>
      <x:c r="D120" s="13" t="str">
        <x:v>exam</x:v>
      </x:c>
      <x:c r="E120" s="13" t="str">
        <x:v>Welche Prüfungsform hat WP3 Information Retrieval?</x:v>
      </x:c>
      <x:c r="F120" s="13" t="str">
        <x:v>module+section</x:v>
      </x:c>
      <x:c r="G120" s="13" t="str">
        <x:v>lmu_computerlinguistik_bsc_stand_2025-09-24.pdf</x:v>
      </x:c>
      <x:c r="H120" s="13" t="str">
        <x:v>WP3</x:v>
      </x:c>
      <x:c r="I120" s="13" t="str">
        <x:v>Form der Modulprüfung</x:v>
      </x:c>
      <x:c r="J120" s="13" t="str">
        <x:v>lmu_computerlinguistik_bsc_stand_2025-09-24.pdf</x:v>
      </x:c>
      <x:c r="K120" s="13" t="str">
        <x:v>WP3</x:v>
      </x:c>
      <x:c r="L120" s="13" t="str">
        <x:v>Art der Bewertung</x:v>
      </x:c>
      <x:c r="M120" s="13"/>
      <x:c r="N120" s="13" t="str">
        <x:v>lmu_computerlinguistik_bsc_stand_2025-09-24.pdf::WP3::Form der Modulprüfung</x:v>
      </x:c>
      <x:c r="O120" s="13" t="str">
        <x:v>lmu_computerlinguistik_bsc_stand_2025-09-24.pdf::WP3::Art der Bewertung | lmu_computerlinguistik_bsc_stand_2025-09-24.pdf::WP3::Teilnahmevoraussetzung | lmu_computerlinguistik_bsc_stand_2025-09-24.pdf::WP3::Inhalte</x:v>
      </x:c>
      <x:c r="P120" s="13" t="n">
        <x:v>1</x:v>
      </x:c>
      <x:c r="Q120" s="13"/>
      <x:c r="R120" s="15"/>
      <x:c r="S120" s="15"/>
      <x:c r="T120" s="15"/>
      <x:c r="U120" s="15"/>
      <x:c r="V120" s="15"/>
      <x:c r="W120" s="13" t="str">
        <x:v>nicht gefunden</x:v>
      </x:c>
    </x:row>
    <x:row r="121">
      <x:c r="A121" s="13" t="str">
        <x:v>Mehrsprachig n=18</x:v>
      </x:c>
      <x:c r="B121" s="13" t="str">
        <x:v>Dense</x:v>
      </x:c>
      <x:c r="C121" s="13" t="str">
        <x:v>m01_en</x:v>
      </x:c>
      <x:c r="D121" s="13" t="str">
        <x:v>exam</x:v>
      </x:c>
      <x:c r="E121" s="13" t="str">
        <x:v>What is the exam type for WP3 Information Retrieval?</x:v>
      </x:c>
      <x:c r="F121" s="13" t="str">
        <x:v>module+section</x:v>
      </x:c>
      <x:c r="G121" s="13" t="str">
        <x:v>lmu_computerlinguistik_bsc_stand_2025-09-24.pdf</x:v>
      </x:c>
      <x:c r="H121" s="13" t="str">
        <x:v>WP3</x:v>
      </x:c>
      <x:c r="I121" s="13" t="str">
        <x:v>Form der Modulprüfung</x:v>
      </x:c>
      <x:c r="J121" s="13" t="str">
        <x:v>lmu_computerlinguistik_bsc_stand_2025-09-24.pdf</x:v>
      </x:c>
      <x:c r="K121" s="13" t="str">
        <x:v>WP3</x:v>
      </x:c>
      <x:c r="L121" s="13" t="str">
        <x:v>Art der Bewertung</x:v>
      </x:c>
      <x:c r="M121" s="13"/>
      <x:c r="N121" s="13" t="str">
        <x:v>lmu_computerlinguistik_bsc_stand_2025-09-24.pdf::WP3::Form der Modulprüfung</x:v>
      </x:c>
      <x:c r="O121" s="13" t="str">
        <x:v>lmu_computerlinguistik_bsc_stand_2025-09-24.pdf::WP3::Art der Bewertung | lmu_computerlinguistik_bsc_stand_2025-09-24.pdf::WP3::Voraussetzung für die Vergabe | lmu_computerlinguistik_bsc_stand_2025-09-24.pdf::WP3::Qualifikationsziele</x:v>
      </x:c>
      <x:c r="P121" s="13" t="n">
        <x:v>1</x:v>
      </x:c>
      <x:c r="Q121" s="13"/>
      <x:c r="R121" s="15"/>
      <x:c r="S121" s="15"/>
      <x:c r="T121" s="15"/>
      <x:c r="U121" s="15"/>
      <x:c r="V121" s="15"/>
      <x:c r="W121" s="13" t="str">
        <x:v>nicht gefunden</x:v>
      </x:c>
    </x:row>
    <x:row r="122">
      <x:c r="A122" s="13" t="str">
        <x:v>Mehrsprachig n=18</x:v>
      </x:c>
      <x:c r="B122" s="13" t="str">
        <x:v>Dense</x:v>
      </x:c>
      <x:c r="C122" s="13" t="str">
        <x:v>m01_tr</x:v>
      </x:c>
      <x:c r="D122" s="13" t="str">
        <x:v>exam</x:v>
      </x:c>
      <x:c r="E122" s="13" t="str">
        <x:v>WP3 Information Retrieval dersinin sınav şekli nedir?</x:v>
      </x:c>
      <x:c r="F122" s="13" t="str">
        <x:v>module+section</x:v>
      </x:c>
      <x:c r="G122" s="13" t="str">
        <x:v>lmu_computerlinguistik_bsc_stand_2025-09-24.pdf</x:v>
      </x:c>
      <x:c r="H122" s="13" t="str">
        <x:v>WP3</x:v>
      </x:c>
      <x:c r="I122" s="13" t="str">
        <x:v>Form der Modulprüfung</x:v>
      </x:c>
      <x:c r="J122" s="13" t="str">
        <x:v>lmu_computerlinguistik_bsc_stand_2025-09-24.pdf</x:v>
      </x:c>
      <x:c r="K122" s="13" t="str">
        <x:v>WP3</x:v>
      </x:c>
      <x:c r="L122" s="13" t="str">
        <x:v>Qualifikationsziele</x:v>
      </x:c>
      <x:c r="M122" s="13"/>
      <x:c r="N122" s="13" t="str">
        <x:v>lmu_computerlinguistik_bsc_stand_2025-09-24.pdf::WP3::Form der Modulprüfung</x:v>
      </x:c>
      <x:c r="O122" s="13" t="str">
        <x:v>lmu_computerlinguistik_bsc_stand_2025-09-24.pdf::WP3::Qualifikationsziele | lmu_computerlinguistik_bsc_stand_2025-09-24.pdf::WP3::Inhalte | lmu_computerlinguistik_bsc_stand_2025-09-24.pdf::WP3::Art der Bewertung</x:v>
      </x:c>
      <x:c r="P122" s="13" t="n">
        <x:v>1</x:v>
      </x:c>
      <x:c r="Q122" s="13"/>
      <x:c r="R122" s="15"/>
      <x:c r="S122" s="15"/>
      <x:c r="T122" s="15"/>
      <x:c r="U122" s="15"/>
      <x:c r="V122" s="15"/>
      <x:c r="W122" s="13" t="str">
        <x:v>nicht gefunden</x:v>
      </x:c>
    </x:row>
    <x:row r="123">
      <x:c r="A123" s="13" t="str">
        <x:v>Mehrsprachig n=18</x:v>
      </x:c>
      <x:c r="B123" s="13" t="str">
        <x:v>Dense</x:v>
      </x:c>
      <x:c r="C123" s="13" t="str">
        <x:v>m02_de</x:v>
      </x:c>
      <x:c r="D123" s="13" t="str">
        <x:v>numerical</x:v>
      </x:c>
      <x:c r="E123" s="13" t="str">
        <x:v>Wie viele ECTS hat WP3 Information Retrieval?</x:v>
      </x:c>
      <x:c r="F123" s="13" t="str">
        <x:v>module+section</x:v>
      </x:c>
      <x:c r="G123" s="13" t="str">
        <x:v>lmu_computerlinguistik_bsc_stand_2025-09-24.pdf</x:v>
      </x:c>
      <x:c r="H123" s="13" t="str">
        <x:v>WP3</x:v>
      </x:c>
      <x:c r="I123" s="13" t="str">
        <x:v>Zugeordnete Modulteile</x:v>
      </x:c>
      <x:c r="J123" s="13" t="str">
        <x:v>lmu_computerlinguistik_bsc_stand_2025-09-24.pdf</x:v>
      </x:c>
      <x:c r="K123" s="13" t="str">
        <x:v>WP3</x:v>
      </x:c>
      <x:c r="L123" s="13" t="str">
        <x:v>Voraussetzung für die Vergabe</x:v>
      </x:c>
      <x:c r="M123" s="13"/>
      <x:c r="N123" s="13" t="str">
        <x:v>lmu_computerlinguistik_bsc_stand_2025-09-24.pdf::WP3::Zugeordnete Modulteile</x:v>
      </x:c>
      <x:c r="O123" s="13" t="str">
        <x:v>lmu_computerlinguistik_bsc_stand_2025-09-24.pdf::WP3::Voraussetzung für die Vergabe | lmu_computerlinguistik_bsc_stand_2025-09-24.pdf::WP3::Art der Bewertung | lmu_computerlinguistik_bsc_stand_2025-09-24.pdf::WP3::Teilnahmevoraussetzung</x:v>
      </x:c>
      <x:c r="P123" s="13" t="n">
        <x:v>1</x:v>
      </x:c>
      <x:c r="Q123" s="13"/>
      <x:c r="R123" s="15"/>
      <x:c r="S123" s="15"/>
      <x:c r="T123" s="15"/>
      <x:c r="U123" s="15"/>
      <x:c r="V123" s="15"/>
      <x:c r="W123" s="13" t="str">
        <x:v>nicht gefunden</x:v>
      </x:c>
    </x:row>
    <x:row r="124">
      <x:c r="A124" s="13" t="str">
        <x:v>Mehrsprachig n=18</x:v>
      </x:c>
      <x:c r="B124" s="13" t="str">
        <x:v>Dense</x:v>
      </x:c>
      <x:c r="C124" s="13" t="str">
        <x:v>m02_en</x:v>
      </x:c>
      <x:c r="D124" s="13" t="str">
        <x:v>numerical</x:v>
      </x:c>
      <x:c r="E124" s="13" t="str">
        <x:v>How many ECTS credits does WP3 Information Retrieval have?</x:v>
      </x:c>
      <x:c r="F124" s="13" t="str">
        <x:v>module+section</x:v>
      </x:c>
      <x:c r="G124" s="13" t="str">
        <x:v>lmu_computerlinguistik_bsc_stand_2025-09-24.pdf</x:v>
      </x:c>
      <x:c r="H124" s="13" t="str">
        <x:v>WP3</x:v>
      </x:c>
      <x:c r="I124" s="13" t="str">
        <x:v>Zugeordnete Modulteile</x:v>
      </x:c>
      <x:c r="J124" s="13" t="str">
        <x:v>lmu_computerlinguistik_bsc_stand_2025-09-24.pdf</x:v>
      </x:c>
      <x:c r="K124" s="13" t="str">
        <x:v>WP3</x:v>
      </x:c>
      <x:c r="L124" s="13" t="str">
        <x:v>Voraussetzung für die Vergabe</x:v>
      </x:c>
      <x:c r="M124" s="13" t="n">
        <x:v>3</x:v>
      </x:c>
      <x:c r="N124" s="13" t="str">
        <x:v>lmu_computerlinguistik_bsc_stand_2025-09-24.pdf::WP3::Zugeordnete Modulteile</x:v>
      </x:c>
      <x:c r="O124" s="13" t="str">
        <x:v>lmu_computerlinguistik_bsc_stand_2025-09-24.pdf::WP3::Voraussetzung für die Vergabe | lmu_computerlinguistik_bsc_stand_2025-09-24.pdf::WP3::Zeitpunkt im Studienverlauf | lmu_computerlinguistik_bsc_stand_2025-09-24.pdf::WP3::Zugeordnete Modulteile</x:v>
      </x:c>
      <x:c r="P124" s="13" t="n">
        <x:v>1</x:v>
      </x:c>
      <x:c r="Q124" s="13" t="n">
        <x:v>1</x:v>
      </x:c>
      <x:c r="R124" s="15" t="n">
        <x:v>0.3333333333333333</x:v>
      </x:c>
      <x:c r="S124" s="15" t="n">
        <x:v>1</x:v>
      </x:c>
      <x:c r="T124" s="15" t="n">
        <x:v>0.3333333333333333</x:v>
      </x:c>
      <x:c r="U124" s="15" t="n">
        <x:v>0.5</x:v>
      </x:c>
      <x:c r="V124" s="15"/>
      <x:c r="W124" s="13" t="str">
        <x:v>vollständig</x:v>
      </x:c>
    </x:row>
    <x:row r="125">
      <x:c r="A125" s="13" t="str">
        <x:v>Mehrsprachig n=18</x:v>
      </x:c>
      <x:c r="B125" s="13" t="str">
        <x:v>Dense</x:v>
      </x:c>
      <x:c r="C125" s="13" t="str">
        <x:v>m02_tr</x:v>
      </x:c>
      <x:c r="D125" s="13" t="str">
        <x:v>numerical</x:v>
      </x:c>
      <x:c r="E125" s="13" t="str">
        <x:v>WP3 Information Retrieval kaç ECTS kredisi?</x:v>
      </x:c>
      <x:c r="F125" s="13" t="str">
        <x:v>module+section</x:v>
      </x:c>
      <x:c r="G125" s="13" t="str">
        <x:v>lmu_computerlinguistik_bsc_stand_2025-09-24.pdf</x:v>
      </x:c>
      <x:c r="H125" s="13" t="str">
        <x:v>WP3</x:v>
      </x:c>
      <x:c r="I125" s="13" t="str">
        <x:v>Zugeordnete Modulteile</x:v>
      </x:c>
      <x:c r="J125" s="13" t="str">
        <x:v>lmu_computerlinguistik_bsc_stand_2025-09-24.pdf</x:v>
      </x:c>
      <x:c r="K125" s="13" t="str">
        <x:v>WP3</x:v>
      </x:c>
      <x:c r="L125" s="13" t="str">
        <x:v>Voraussetzung für die Vergabe</x:v>
      </x:c>
      <x:c r="M125" s="13"/>
      <x:c r="N125" s="13" t="str">
        <x:v>lmu_computerlinguistik_bsc_stand_2025-09-24.pdf::WP3::Zugeordnete Modulteile</x:v>
      </x:c>
      <x:c r="O125" s="13" t="str">
        <x:v>lmu_computerlinguistik_bsc_stand_2025-09-24.pdf::WP3::Voraussetzung für die Vergabe | lmu_computerlinguistik_bsc_stand_2025-09-24.pdf::WP3::Art der Bewertung | lmu_computerlinguistik_bsc_stand_2025-09-24.pdf::WP3::Teilnahmevoraussetzung</x:v>
      </x:c>
      <x:c r="P125" s="13" t="n">
        <x:v>1</x:v>
      </x:c>
      <x:c r="Q125" s="13"/>
      <x:c r="R125" s="15"/>
      <x:c r="S125" s="15"/>
      <x:c r="T125" s="15"/>
      <x:c r="U125" s="15"/>
      <x:c r="V125" s="15"/>
      <x:c r="W125" s="13" t="str">
        <x:v>nicht gefunden</x:v>
      </x:c>
    </x:row>
    <x:row r="126">
      <x:c r="A126" s="13" t="str">
        <x:v>Mehrsprachig n=18</x:v>
      </x:c>
      <x:c r="B126" s="13" t="str">
        <x:v>Dense</x:v>
      </x:c>
      <x:c r="C126" s="13" t="str">
        <x:v>m03_de</x:v>
      </x:c>
      <x:c r="D126" s="13" t="str">
        <x:v>responsible_person</x:v>
      </x:c>
      <x:c r="E126" s="13" t="str">
        <x:v>Wer ist modulverantwortlich für P10 Statistische Methoden in der Sprachverarbeitung?</x:v>
      </x:c>
      <x:c r="F126" s="13" t="str">
        <x:v>module+section</x:v>
      </x:c>
      <x:c r="G126" s="13" t="str">
        <x:v>lmu_computerlinguistik_bsc_stand_2025-09-24.pdf</x:v>
      </x:c>
      <x:c r="H126" s="13" t="str">
        <x:v>P10</x:v>
      </x:c>
      <x:c r="I126" s="13" t="str">
        <x:v>Modulverantwortliche/r</x:v>
      </x:c>
      <x:c r="J126" s="13" t="str">
        <x:v>lmu_computerlinguistik_bsc_stand_2025-09-24.pdf</x:v>
      </x:c>
      <x:c r="K126" s="13" t="str">
        <x:v>P10</x:v>
      </x:c>
      <x:c r="L126" s="13" t="str">
        <x:v>header</x:v>
      </x:c>
      <x:c r="M126" s="13"/>
      <x:c r="N126" s="13" t="str">
        <x:v>lmu_computerlinguistik_bsc_stand_2025-09-24.pdf::P10::Modulverantwortliche/r</x:v>
      </x:c>
      <x:c r="O126" s="13" t="str">
        <x:v>lmu_computerlinguistik_bsc_stand_2025-09-24.pdf::P10::header | lmu_computerlinguistik_bsc_stand_2025-09-24.pdf::P10::Englischer Modultitel | lmu_computerlinguistik_bsc_stand_2025-09-24.pdf::P10::Verwendbarkeit des Moduls</x:v>
      </x:c>
      <x:c r="P126" s="13" t="n">
        <x:v>1</x:v>
      </x:c>
      <x:c r="Q126" s="13"/>
      <x:c r="R126" s="15"/>
      <x:c r="S126" s="15"/>
      <x:c r="T126" s="15"/>
      <x:c r="U126" s="15"/>
      <x:c r="V126" s="15"/>
      <x:c r="W126" s="13" t="str">
        <x:v>nicht gefunden</x:v>
      </x:c>
    </x:row>
    <x:row r="127">
      <x:c r="A127" s="13" t="str">
        <x:v>Mehrsprachig n=18</x:v>
      </x:c>
      <x:c r="B127" s="13" t="str">
        <x:v>Dense</x:v>
      </x:c>
      <x:c r="C127" s="13" t="str">
        <x:v>m03_en</x:v>
      </x:c>
      <x:c r="D127" s="13" t="str">
        <x:v>responsible_person</x:v>
      </x:c>
      <x:c r="E127" s="13" t="str">
        <x:v>Who is responsible for P10 Statistical Methods in Natural Language Processing?</x:v>
      </x:c>
      <x:c r="F127" s="13" t="str">
        <x:v>module+section</x:v>
      </x:c>
      <x:c r="G127" s="13" t="str">
        <x:v>lmu_computerlinguistik_bsc_stand_2025-09-24.pdf</x:v>
      </x:c>
      <x:c r="H127" s="13" t="str">
        <x:v>P10</x:v>
      </x:c>
      <x:c r="I127" s="13" t="str">
        <x:v>Modulverantwortliche/r</x:v>
      </x:c>
      <x:c r="J127" s="13" t="str">
        <x:v>lmu_computerlinguistik_bsc_stand_2025-09-24.pdf</x:v>
      </x:c>
      <x:c r="K127" s="13" t="str">
        <x:v>P10</x:v>
      </x:c>
      <x:c r="L127" s="13" t="str">
        <x:v>header</x:v>
      </x:c>
      <x:c r="M127" s="13"/>
      <x:c r="N127" s="13" t="str">
        <x:v>lmu_computerlinguistik_bsc_stand_2025-09-24.pdf::P10::Modulverantwortliche/r</x:v>
      </x:c>
      <x:c r="O127" s="13" t="str">
        <x:v>lmu_computerlinguistik_bsc_stand_2025-09-24.pdf::P10::header | lmu_computerlinguistik_bsc_stand_2025-09-24.pdf::P10::Englischer Modultitel | lmu_computerlinguistik_bsc_stand_2025-09-24.pdf::P10::Art der Bewertung</x:v>
      </x:c>
      <x:c r="P127" s="13" t="n">
        <x:v>1</x:v>
      </x:c>
      <x:c r="Q127" s="13"/>
      <x:c r="R127" s="15"/>
      <x:c r="S127" s="15"/>
      <x:c r="T127" s="15"/>
      <x:c r="U127" s="15"/>
      <x:c r="V127" s="15"/>
      <x:c r="W127" s="13" t="str">
        <x:v>nicht gefunden</x:v>
      </x:c>
    </x:row>
    <x:row r="128">
      <x:c r="A128" s="13" t="str">
        <x:v>Mehrsprachig n=18</x:v>
      </x:c>
      <x:c r="B128" s="13" t="str">
        <x:v>Dense</x:v>
      </x:c>
      <x:c r="C128" s="13" t="str">
        <x:v>m03_tr</x:v>
      </x:c>
      <x:c r="D128" s="13" t="str">
        <x:v>responsible_person</x:v>
      </x:c>
      <x:c r="E128" s="13" t="str">
        <x:v>P10 Statistische Methoden in der Sprachverarbeitung modülünden kim sorumludur?</x:v>
      </x:c>
      <x:c r="F128" s="13" t="str">
        <x:v>module+section</x:v>
      </x:c>
      <x:c r="G128" s="13" t="str">
        <x:v>lmu_computerlinguistik_bsc_stand_2025-09-24.pdf</x:v>
      </x:c>
      <x:c r="H128" s="13" t="str">
        <x:v>P10</x:v>
      </x:c>
      <x:c r="I128" s="13" t="str">
        <x:v>Modulverantwortliche/r</x:v>
      </x:c>
      <x:c r="J128" s="13" t="str">
        <x:v>lmu_computerlinguistik_bsc_stand_2025-09-24.pdf</x:v>
      </x:c>
      <x:c r="K128" s="13" t="str">
        <x:v>P10</x:v>
      </x:c>
      <x:c r="L128" s="13" t="str">
        <x:v>header</x:v>
      </x:c>
      <x:c r="M128" s="13" t="n">
        <x:v>3</x:v>
      </x:c>
      <x:c r="N128" s="13" t="str">
        <x:v>lmu_computerlinguistik_bsc_stand_2025-09-24.pdf::P10::Modulverantwortliche/r</x:v>
      </x:c>
      <x:c r="O128" s="13" t="str">
        <x:v>lmu_computerlinguistik_bsc_stand_2025-09-24.pdf::P10::header | lmu_computerlinguistik_bsc_stand_2025-09-24.pdf::P10::Inhalte | lmu_computerlinguistik_bsc_stand_2025-09-24.pdf::P10::Modulverantwortliche/r</x:v>
      </x:c>
      <x:c r="P128" s="13" t="n">
        <x:v>1</x:v>
      </x:c>
      <x:c r="Q128" s="13" t="n">
        <x:v>1</x:v>
      </x:c>
      <x:c r="R128" s="15" t="n">
        <x:v>0.3333333333333333</x:v>
      </x:c>
      <x:c r="S128" s="15" t="n">
        <x:v>1</x:v>
      </x:c>
      <x:c r="T128" s="15" t="n">
        <x:v>0.3333333333333333</x:v>
      </x:c>
      <x:c r="U128" s="15" t="n">
        <x:v>0.5</x:v>
      </x:c>
      <x:c r="V128" s="15"/>
      <x:c r="W128" s="13" t="str">
        <x:v>vollständig</x:v>
      </x:c>
    </x:row>
    <x:row r="129">
      <x:c r="A129" s="13" t="str">
        <x:v>Mehrsprachig n=18</x:v>
      </x:c>
      <x:c r="B129" s="13" t="str">
        <x:v>Dense</x:v>
      </x:c>
      <x:c r="C129" s="13" t="str">
        <x:v>m04_de</x:v>
      </x:c>
      <x:c r="D129" s="13" t="str">
        <x:v>semester</x:v>
      </x:c>
      <x:c r="E129" s="13" t="str">
        <x:v>In welchem Semester wird P8 empfohlen?</x:v>
      </x:c>
      <x:c r="F129" s="13" t="str">
        <x:v>module+section</x:v>
      </x:c>
      <x:c r="G129" s="13" t="str">
        <x:v>lmu_computerlinguistik_bsc_stand_2025-09-24.pdf</x:v>
      </x:c>
      <x:c r="H129" s="13" t="str">
        <x:v>P8</x:v>
      </x:c>
      <x:c r="I129" s="13" t="str">
        <x:v>Zeitpunkt im Studienverlauf</x:v>
      </x:c>
      <x:c r="J129" s="13" t="str">
        <x:v>lmu_computerlinguistik_bsc_stand_2025-09-24.pdf</x:v>
      </x:c>
      <x:c r="K129" s="13" t="str">
        <x:v>P8</x:v>
      </x:c>
      <x:c r="L129" s="13" t="str">
        <x:v>Verwendbarkeit des Moduls</x:v>
      </x:c>
      <x:c r="M129" s="13" t="n">
        <x:v>2</x:v>
      </x:c>
      <x:c r="N129" s="13" t="str">
        <x:v>lmu_computerlinguistik_bsc_stand_2025-09-24.pdf::P8::Zeitpunkt im Studienverlauf</x:v>
      </x:c>
      <x:c r="O129" s="13" t="str">
        <x:v>lmu_computerlinguistik_bsc_stand_2025-09-24.pdf::P8::Verwendbarkeit des Moduls | lmu_computerlinguistik_bsc_stand_2025-09-24.pdf::P8::Zeitpunkt im Studienverlauf | lmu_computerlinguistik_bsc_stand_2025-09-24.pdf::P8::Qualifikationsziele</x:v>
      </x:c>
      <x:c r="P129" s="13" t="n">
        <x:v>1</x:v>
      </x:c>
      <x:c r="Q129" s="13" t="n">
        <x:v>1</x:v>
      </x:c>
      <x:c r="R129" s="15" t="n">
        <x:v>0.3333333333333333</x:v>
      </x:c>
      <x:c r="S129" s="15" t="n">
        <x:v>1</x:v>
      </x:c>
      <x:c r="T129" s="15" t="n">
        <x:v>0.5</x:v>
      </x:c>
      <x:c r="U129" s="15" t="n">
        <x:v>0.6309297535714575</x:v>
      </x:c>
      <x:c r="V129" s="15"/>
      <x:c r="W129" s="13" t="str">
        <x:v>vollständig</x:v>
      </x:c>
    </x:row>
    <x:row r="130">
      <x:c r="A130" s="13" t="str">
        <x:v>Mehrsprachig n=18</x:v>
      </x:c>
      <x:c r="B130" s="13" t="str">
        <x:v>Dense</x:v>
      </x:c>
      <x:c r="C130" s="13" t="str">
        <x:v>m04_en</x:v>
      </x:c>
      <x:c r="D130" s="13" t="str">
        <x:v>semester</x:v>
      </x:c>
      <x:c r="E130" s="13" t="str">
        <x:v>In which semester is P8 recommended?</x:v>
      </x:c>
      <x:c r="F130" s="13" t="str">
        <x:v>module+section</x:v>
      </x:c>
      <x:c r="G130" s="13" t="str">
        <x:v>lmu_computerlinguistik_bsc_stand_2025-09-24.pdf</x:v>
      </x:c>
      <x:c r="H130" s="13" t="str">
        <x:v>P8</x:v>
      </x:c>
      <x:c r="I130" s="13" t="str">
        <x:v>Zeitpunkt im Studienverlauf</x:v>
      </x:c>
      <x:c r="J130" s="13" t="str">
        <x:v>lmu_computerlinguistik_bsc_stand_2025-09-24.pdf</x:v>
      </x:c>
      <x:c r="K130" s="13" t="str">
        <x:v>P8</x:v>
      </x:c>
      <x:c r="L130" s="13" t="str">
        <x:v>Verwendbarkeit des Moduls</x:v>
      </x:c>
      <x:c r="M130" s="13" t="n">
        <x:v>2</x:v>
      </x:c>
      <x:c r="N130" s="13" t="str">
        <x:v>lmu_computerlinguistik_bsc_stand_2025-09-24.pdf::P8::Zeitpunkt im Studienverlauf</x:v>
      </x:c>
      <x:c r="O130" s="13" t="str">
        <x:v>lmu_computerlinguistik_bsc_stand_2025-09-24.pdf::P8::Verwendbarkeit des Moduls | lmu_computerlinguistik_bsc_stand_2025-09-24.pdf::P8::Zeitpunkt im Studienverlauf | lmu_computerlinguistik_bsc_stand_2025-09-24.pdf::P8::Qualifikationsziele</x:v>
      </x:c>
      <x:c r="P130" s="13" t="n">
        <x:v>1</x:v>
      </x:c>
      <x:c r="Q130" s="13" t="n">
        <x:v>1</x:v>
      </x:c>
      <x:c r="R130" s="15" t="n">
        <x:v>0.3333333333333333</x:v>
      </x:c>
      <x:c r="S130" s="15" t="n">
        <x:v>1</x:v>
      </x:c>
      <x:c r="T130" s="15" t="n">
        <x:v>0.5</x:v>
      </x:c>
      <x:c r="U130" s="15" t="n">
        <x:v>0.6309297535714575</x:v>
      </x:c>
      <x:c r="V130" s="15"/>
      <x:c r="W130" s="13" t="str">
        <x:v>vollständig</x:v>
      </x:c>
    </x:row>
    <x:row r="131">
      <x:c r="A131" s="13" t="str">
        <x:v>Mehrsprachig n=18</x:v>
      </x:c>
      <x:c r="B131" s="13" t="str">
        <x:v>Dense</x:v>
      </x:c>
      <x:c r="C131" s="13" t="str">
        <x:v>m04_tr</x:v>
      </x:c>
      <x:c r="D131" s="13" t="str">
        <x:v>semester</x:v>
      </x:c>
      <x:c r="E131" s="13" t="str">
        <x:v>P8 hangi dönemde öneriliyor?</x:v>
      </x:c>
      <x:c r="F131" s="13" t="str">
        <x:v>module+section</x:v>
      </x:c>
      <x:c r="G131" s="13" t="str">
        <x:v>lmu_computerlinguistik_bsc_stand_2025-09-24.pdf</x:v>
      </x:c>
      <x:c r="H131" s="13" t="str">
        <x:v>P8</x:v>
      </x:c>
      <x:c r="I131" s="13" t="str">
        <x:v>Zeitpunkt im Studienverlauf</x:v>
      </x:c>
      <x:c r="J131" s="13" t="str">
        <x:v>lmu_computerlinguistik_bsc_stand_2025-09-24.pdf</x:v>
      </x:c>
      <x:c r="K131" s="13" t="str">
        <x:v>P8</x:v>
      </x:c>
      <x:c r="L131" s="13" t="str">
        <x:v>Zeitpunkt im Studienverlauf</x:v>
      </x:c>
      <x:c r="M131" s="13" t="n">
        <x:v>1</x:v>
      </x:c>
      <x:c r="N131" s="13" t="str">
        <x:v>lmu_computerlinguistik_bsc_stand_2025-09-24.pdf::P8::Zeitpunkt im Studienverlauf</x:v>
      </x:c>
      <x:c r="O131" s="13" t="str">
        <x:v>lmu_computerlinguistik_bsc_stand_2025-09-24.pdf::P8::Zeitpunkt im Studienverlauf | lmu_computerlinguistik_bsc_stand_2025-09-24.pdf::P9::Zeitpunkt im Studienverlauf | lmu_computerlinguistik_bsc_stand_2025-09-24.pdf::P8::Dauer</x:v>
      </x:c>
      <x:c r="P131" s="13" t="n">
        <x:v>1</x:v>
      </x:c>
      <x:c r="Q131" s="13" t="n">
        <x:v>1</x:v>
      </x:c>
      <x:c r="R131" s="15" t="n">
        <x:v>0.3333333333333333</x:v>
      </x:c>
      <x:c r="S131" s="15" t="n">
        <x:v>1</x:v>
      </x:c>
      <x:c r="T131" s="15" t="n">
        <x:v>1</x:v>
      </x:c>
      <x:c r="U131" s="15" t="n">
        <x:v>1</x:v>
      </x:c>
      <x:c r="V131" s="15" t="n">
        <x:v>1</x:v>
      </x:c>
      <x:c r="W131" s="13" t="str">
        <x:v>vollständig</x:v>
      </x:c>
    </x:row>
    <x:row r="132">
      <x:c r="A132" s="13" t="str">
        <x:v>Mehrsprachig n=18</x:v>
      </x:c>
      <x:c r="B132" s="13" t="str">
        <x:v>Dense</x:v>
      </x:c>
      <x:c r="C132" s="13" t="str">
        <x:v>m05_de</x:v>
      </x:c>
      <x:c r="D132" s="13" t="str">
        <x:v>content</x:v>
      </x:c>
      <x:c r="E132" s="13" t="str">
        <x:v>Welche Inhalte behandelt P11 Informationsextraktion?</x:v>
      </x:c>
      <x:c r="F132" s="13" t="str">
        <x:v>module+section</x:v>
      </x:c>
      <x:c r="G132" s="13" t="str">
        <x:v>lmu_computerlinguistik_bsc_stand_2025-09-24.pdf</x:v>
      </x:c>
      <x:c r="H132" s="13" t="str">
        <x:v>P11</x:v>
      </x:c>
      <x:c r="I132" s="13" t="str">
        <x:v>Inhalte</x:v>
      </x:c>
      <x:c r="J132" s="13" t="str">
        <x:v>lmu_computerlinguistik_bsc_stand_2025-09-24.pdf</x:v>
      </x:c>
      <x:c r="K132" s="13" t="str">
        <x:v>P11</x:v>
      </x:c>
      <x:c r="L132" s="13" t="str">
        <x:v>Englischer Modultitel</x:v>
      </x:c>
      <x:c r="M132" s="13"/>
      <x:c r="N132" s="13" t="str">
        <x:v>lmu_computerlinguistik_bsc_stand_2025-09-24.pdf::P11::Inhalte</x:v>
      </x:c>
      <x:c r="O132" s="13" t="str">
        <x:v>lmu_computerlinguistik_bsc_stand_2025-09-24.pdf::P11::Englischer Modultitel | lmu_computerlinguistik_bsc_stand_2025-09-24.pdf::P11::header | lmu_computerlinguistik_bsc_stand_2025-09-24.pdf::P11::Teilnahmevoraussetzung</x:v>
      </x:c>
      <x:c r="P132" s="13" t="n">
        <x:v>1</x:v>
      </x:c>
      <x:c r="Q132" s="13"/>
      <x:c r="R132" s="15"/>
      <x:c r="S132" s="15"/>
      <x:c r="T132" s="15"/>
      <x:c r="U132" s="15"/>
      <x:c r="V132" s="15"/>
      <x:c r="W132" s="13" t="str">
        <x:v>nicht gefunden</x:v>
      </x:c>
    </x:row>
    <x:row r="133">
      <x:c r="A133" s="13" t="str">
        <x:v>Mehrsprachig n=18</x:v>
      </x:c>
      <x:c r="B133" s="13" t="str">
        <x:v>Dense</x:v>
      </x:c>
      <x:c r="C133" s="13" t="str">
        <x:v>m05_en</x:v>
      </x:c>
      <x:c r="D133" s="13" t="str">
        <x:v>content</x:v>
      </x:c>
      <x:c r="E133" s="13" t="str">
        <x:v>What topics are covered in P11 Information Extraction?</x:v>
      </x:c>
      <x:c r="F133" s="13" t="str">
        <x:v>module+section</x:v>
      </x:c>
      <x:c r="G133" s="13" t="str">
        <x:v>lmu_computerlinguistik_bsc_stand_2025-09-24.pdf</x:v>
      </x:c>
      <x:c r="H133" s="13" t="str">
        <x:v>P11</x:v>
      </x:c>
      <x:c r="I133" s="13" t="str">
        <x:v>Inhalte</x:v>
      </x:c>
      <x:c r="J133" s="13" t="str">
        <x:v>lmu_computerlinguistik_bsc_stand_2025-09-24.pdf</x:v>
      </x:c>
      <x:c r="K133" s="13" t="str">
        <x:v>P11</x:v>
      </x:c>
      <x:c r="L133" s="13" t="str">
        <x:v>Englischer Modultitel</x:v>
      </x:c>
      <x:c r="M133" s="13"/>
      <x:c r="N133" s="13" t="str">
        <x:v>lmu_computerlinguistik_bsc_stand_2025-09-24.pdf::P11::Inhalte</x:v>
      </x:c>
      <x:c r="O133" s="13" t="str">
        <x:v>lmu_computerlinguistik_bsc_stand_2025-09-24.pdf::P11::Englischer Modultitel | lmu_computerlinguistik_bsc_stand_2025-09-24.pdf::P11::Qualifikationsziele | lmu_computerlinguistik_bsc_stand_2025-09-24.pdf::P11::header</x:v>
      </x:c>
      <x:c r="P133" s="13" t="n">
        <x:v>1</x:v>
      </x:c>
      <x:c r="Q133" s="13"/>
      <x:c r="R133" s="15"/>
      <x:c r="S133" s="15"/>
      <x:c r="T133" s="15"/>
      <x:c r="U133" s="15"/>
      <x:c r="V133" s="15"/>
      <x:c r="W133" s="13" t="str">
        <x:v>nicht gefunden</x:v>
      </x:c>
    </x:row>
    <x:row r="134">
      <x:c r="A134" s="13" t="str">
        <x:v>Mehrsprachig n=18</x:v>
      </x:c>
      <x:c r="B134" s="13" t="str">
        <x:v>Dense</x:v>
      </x:c>
      <x:c r="C134" s="13" t="str">
        <x:v>m05_tr</x:v>
      </x:c>
      <x:c r="D134" s="13" t="str">
        <x:v>content</x:v>
      </x:c>
      <x:c r="E134" s="13" t="str">
        <x:v>P11 Informationsextraktion hangi konuları içeriyor?</x:v>
      </x:c>
      <x:c r="F134" s="13" t="str">
        <x:v>module+section</x:v>
      </x:c>
      <x:c r="G134" s="13" t="str">
        <x:v>lmu_computerlinguistik_bsc_stand_2025-09-24.pdf</x:v>
      </x:c>
      <x:c r="H134" s="13" t="str">
        <x:v>P11</x:v>
      </x:c>
      <x:c r="I134" s="13" t="str">
        <x:v>Inhalte</x:v>
      </x:c>
      <x:c r="J134" s="13" t="str">
        <x:v>lmu_computerlinguistik_bsc_stand_2025-09-24.pdf</x:v>
      </x:c>
      <x:c r="K134" s="13" t="str">
        <x:v>P11</x:v>
      </x:c>
      <x:c r="L134" s="13" t="str">
        <x:v>Englischer Modultitel</x:v>
      </x:c>
      <x:c r="M134" s="13"/>
      <x:c r="N134" s="13" t="str">
        <x:v>lmu_computerlinguistik_bsc_stand_2025-09-24.pdf::P11::Inhalte</x:v>
      </x:c>
      <x:c r="O134" s="13" t="str">
        <x:v>lmu_computerlinguistik_bsc_stand_2025-09-24.pdf::P11::Englischer Modultitel | lmu_computerlinguistik_bsc_stand_2025-09-24.pdf::P11::header | lmu_computerlinguistik_bsc_stand_2025-09-24.pdf::P11::Teilnahmevoraussetzung</x:v>
      </x:c>
      <x:c r="P134" s="13" t="n">
        <x:v>1</x:v>
      </x:c>
      <x:c r="Q134" s="13"/>
      <x:c r="R134" s="15"/>
      <x:c r="S134" s="15"/>
      <x:c r="T134" s="15"/>
      <x:c r="U134" s="15"/>
      <x:c r="V134" s="15"/>
      <x:c r="W134" s="13" t="str">
        <x:v>nicht gefunden</x:v>
      </x:c>
    </x:row>
    <x:row r="135">
      <x:c r="A135" s="13" t="str">
        <x:v>Mehrsprachig n=18</x:v>
      </x:c>
      <x:c r="B135" s="13" t="str">
        <x:v>Dense</x:v>
      </x:c>
      <x:c r="C135" s="13" t="str">
        <x:v>m06_de</x:v>
      </x:c>
      <x:c r="D135" s="13" t="str">
        <x:v>broad_topic</x:v>
      </x:c>
      <x:c r="E135" s="13" t="str">
        <x:v>Welche Module behandeln Informationssuche oder Suchmaschinen?</x:v>
      </x:c>
      <x:c r="F135" s="13" t="str">
        <x:v>module+section</x:v>
      </x:c>
      <x:c r="G135" s="13" t="str">
        <x:v>lmu_computerlinguistik_bsc_stand_2025-09-24.pdf</x:v>
      </x:c>
      <x:c r="H135" s="13" t="str">
        <x:v>WP3</x:v>
      </x:c>
      <x:c r="I135" s="13" t="str">
        <x:v>Inhalte</x:v>
      </x:c>
      <x:c r="J135" s="13" t="str">
        <x:v>lmu_computerlinguistik_bsc_stand_2025-09-24.pdf</x:v>
      </x:c>
      <x:c r="K135" s="13" t="str">
        <x:v>WP3</x:v>
      </x:c>
      <x:c r="L135" s="13" t="str">
        <x:v>Inhalte</x:v>
      </x:c>
      <x:c r="M135" s="13" t="n">
        <x:v>1</x:v>
      </x:c>
      <x:c r="N135" s="13" t="str">
        <x:v>lmu_computerlinguistik_bsc_stand_2025-09-24.pdf::WP3::Inhalte</x:v>
      </x:c>
      <x:c r="O135" s="13" t="str">
        <x:v>lmu_computerlinguistik_bsc_stand_2025-09-24.pdf::WP3::Inhalte | lmu_computerlinguistik_bsc_stand_2025-09-24.pdf::WP3::Qualifikationsziele | lmu_computerlinguistik_bsc_stand_2025-09-24.pdf::P11::Inhalte</x:v>
      </x:c>
      <x:c r="P135" s="13" t="n">
        <x:v>1</x:v>
      </x:c>
      <x:c r="Q135" s="13" t="n">
        <x:v>1</x:v>
      </x:c>
      <x:c r="R135" s="15" t="n">
        <x:v>0.3333333333333333</x:v>
      </x:c>
      <x:c r="S135" s="15" t="n">
        <x:v>1</x:v>
      </x:c>
      <x:c r="T135" s="15" t="n">
        <x:v>1</x:v>
      </x:c>
      <x:c r="U135" s="15" t="n">
        <x:v>1</x:v>
      </x:c>
      <x:c r="V135" s="15" t="n">
        <x:v>1</x:v>
      </x:c>
      <x:c r="W135" s="13" t="str">
        <x:v>vollständig</x:v>
      </x:c>
    </x:row>
    <x:row r="136">
      <x:c r="A136" s="13" t="str">
        <x:v>Mehrsprachig n=18</x:v>
      </x:c>
      <x:c r="B136" s="13" t="str">
        <x:v>Dense</x:v>
      </x:c>
      <x:c r="C136" s="13" t="str">
        <x:v>m06_en</x:v>
      </x:c>
      <x:c r="D136" s="13" t="str">
        <x:v>broad_topic</x:v>
      </x:c>
      <x:c r="E136" s="13" t="str">
        <x:v>Which modules cover information search or search engines?</x:v>
      </x:c>
      <x:c r="F136" s="13" t="str">
        <x:v>module+section</x:v>
      </x:c>
      <x:c r="G136" s="13" t="str">
        <x:v>lmu_computerlinguistik_bsc_stand_2025-09-24.pdf</x:v>
      </x:c>
      <x:c r="H136" s="13" t="str">
        <x:v>WP3</x:v>
      </x:c>
      <x:c r="I136" s="13" t="str">
        <x:v>Inhalte</x:v>
      </x:c>
      <x:c r="J136" s="13" t="str">
        <x:v>lmu_computerlinguistik_bsc_stand_2025-09-24.pdf</x:v>
      </x:c>
      <x:c r="K136" s="13" t="str">
        <x:v>WP3</x:v>
      </x:c>
      <x:c r="L136" s="13" t="str">
        <x:v>Inhalte</x:v>
      </x:c>
      <x:c r="M136" s="13" t="n">
        <x:v>1</x:v>
      </x:c>
      <x:c r="N136" s="13" t="str">
        <x:v>lmu_computerlinguistik_bsc_stand_2025-09-24.pdf::WP3::Inhalte</x:v>
      </x:c>
      <x:c r="O136" s="13" t="str">
        <x:v>lmu_computerlinguistik_bsc_stand_2025-09-24.pdf::WP3::Inhalte | lmu_computerlinguistik_bsc_stand_2025-09-24.pdf::WP3::Qualifikationsziele | lmu_computerlinguistik_bsc_stand_2025-09-24.pdf::WP3::Art des Moduls</x:v>
      </x:c>
      <x:c r="P136" s="13" t="n">
        <x:v>1</x:v>
      </x:c>
      <x:c r="Q136" s="13" t="n">
        <x:v>1</x:v>
      </x:c>
      <x:c r="R136" s="15" t="n">
        <x:v>0.3333333333333333</x:v>
      </x:c>
      <x:c r="S136" s="15" t="n">
        <x:v>1</x:v>
      </x:c>
      <x:c r="T136" s="15" t="n">
        <x:v>1</x:v>
      </x:c>
      <x:c r="U136" s="15" t="n">
        <x:v>1</x:v>
      </x:c>
      <x:c r="V136" s="15" t="n">
        <x:v>1</x:v>
      </x:c>
      <x:c r="W136" s="13" t="str">
        <x:v>vollständig</x:v>
      </x:c>
    </x:row>
    <x:row r="137">
      <x:c r="A137" s="13" t="str">
        <x:v>Mehrsprachig n=18</x:v>
      </x:c>
      <x:c r="B137" s="13" t="str">
        <x:v>Dense</x:v>
      </x:c>
      <x:c r="C137" s="13" t="str">
        <x:v>m06_tr</x:v>
      </x:c>
      <x:c r="D137" s="13" t="str">
        <x:v>broad_topic</x:v>
      </x:c>
      <x:c r="E137" s="13" t="str">
        <x:v>Hangi modüller bilgi arama veya arama motorlarını ele alıyor?</x:v>
      </x:c>
      <x:c r="F137" s="13" t="str">
        <x:v>module+section</x:v>
      </x:c>
      <x:c r="G137" s="13" t="str">
        <x:v>lmu_computerlinguistik_bsc_stand_2025-09-24.pdf</x:v>
      </x:c>
      <x:c r="H137" s="13" t="str">
        <x:v>WP3</x:v>
      </x:c>
      <x:c r="I137" s="13" t="str">
        <x:v>Inhalte</x:v>
      </x:c>
      <x:c r="J137" s="13" t="str">
        <x:v>lmu_computerlinguistik_bsc_stand_2025-09-24.pdf</x:v>
      </x:c>
      <x:c r="K137" s="13" t="str">
        <x:v>WP3</x:v>
      </x:c>
      <x:c r="L137" s="13" t="str">
        <x:v>Inhalte</x:v>
      </x:c>
      <x:c r="M137" s="13" t="n">
        <x:v>1</x:v>
      </x:c>
      <x:c r="N137" s="13" t="str">
        <x:v>lmu_computerlinguistik_bsc_stand_2025-09-24.pdf::WP3::Inhalte</x:v>
      </x:c>
      <x:c r="O137" s="13" t="str">
        <x:v>lmu_computerlinguistik_bsc_stand_2025-09-24.pdf::WP3::Inhalte | lmu_computerlinguistik_bsc_stand_2025-09-24.pdf::P11::Inhalte | lmu_computerlinguistik_bsc_stand_2025-09-24.pdf::WP3::Qualifikationsziele</x:v>
      </x:c>
      <x:c r="P137" s="13" t="n">
        <x:v>1</x:v>
      </x:c>
      <x:c r="Q137" s="13" t="n">
        <x:v>1</x:v>
      </x:c>
      <x:c r="R137" s="15" t="n">
        <x:v>0.3333333333333333</x:v>
      </x:c>
      <x:c r="S137" s="15" t="n">
        <x:v>1</x:v>
      </x:c>
      <x:c r="T137" s="15" t="n">
        <x:v>1</x:v>
      </x:c>
      <x:c r="U137" s="15" t="n">
        <x:v>1</x:v>
      </x:c>
      <x:c r="V137" s="15" t="n">
        <x:v>1</x:v>
      </x:c>
      <x:c r="W137" s="13" t="str">
        <x:v>vollständig</x:v>
      </x:c>
    </x:row>
    <x:row r="138">
      <x:c r="A138" s="13" t="str">
        <x:v>Mehrsprachig n=18</x:v>
      </x:c>
      <x:c r="B138" s="13" t="str">
        <x:v>Hybrid_alpha_0.25</x:v>
      </x:c>
      <x:c r="C138" s="13" t="str">
        <x:v>m01_de</x:v>
      </x:c>
      <x:c r="D138" s="13" t="str">
        <x:v>exam</x:v>
      </x:c>
      <x:c r="E138" s="13" t="str">
        <x:v>Welche Prüfungsform hat WP3 Information Retrieval?</x:v>
      </x:c>
      <x:c r="F138" s="13" t="str">
        <x:v>module+section</x:v>
      </x:c>
      <x:c r="G138" s="13" t="str">
        <x:v>lmu_computerlinguistik_bsc_stand_2025-09-24.pdf</x:v>
      </x:c>
      <x:c r="H138" s="13" t="str">
        <x:v>WP3</x:v>
      </x:c>
      <x:c r="I138" s="13" t="str">
        <x:v>Form der Modulprüfung</x:v>
      </x:c>
      <x:c r="J138" s="13" t="str">
        <x:v>lmu_computerlinguistik_bsc_stand_2025-09-24.pdf</x:v>
      </x:c>
      <x:c r="K138" s="13" t="str">
        <x:v>WP3</x:v>
      </x:c>
      <x:c r="L138" s="13" t="str">
        <x:v>Form der Modulprüfung</x:v>
      </x:c>
      <x:c r="M138" s="13" t="n">
        <x:v>1</x:v>
      </x:c>
      <x:c r="N138" s="13" t="str">
        <x:v>lmu_computerlinguistik_bsc_stand_2025-09-24.pdf::WP3::Form der Modulprüfung</x:v>
      </x:c>
      <x:c r="O138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38" s="13" t="n">
        <x:v>1</x:v>
      </x:c>
      <x:c r="Q138" s="13" t="n">
        <x:v>1</x:v>
      </x:c>
      <x:c r="R138" s="15" t="n">
        <x:v>0.3333333333333333</x:v>
      </x:c>
      <x:c r="S138" s="15" t="n">
        <x:v>1</x:v>
      </x:c>
      <x:c r="T138" s="15" t="n">
        <x:v>1</x:v>
      </x:c>
      <x:c r="U138" s="15" t="n">
        <x:v>1</x:v>
      </x:c>
      <x:c r="V138" s="15" t="n">
        <x:v>1</x:v>
      </x:c>
      <x:c r="W138" s="13" t="str">
        <x:v>vollständig</x:v>
      </x:c>
    </x:row>
    <x:row r="139">
      <x:c r="A139" s="13" t="str">
        <x:v>Mehrsprachig n=18</x:v>
      </x:c>
      <x:c r="B139" s="13" t="str">
        <x:v>Hybrid_alpha_0.25</x:v>
      </x:c>
      <x:c r="C139" s="13" t="str">
        <x:v>m01_en</x:v>
      </x:c>
      <x:c r="D139" s="13" t="str">
        <x:v>exam</x:v>
      </x:c>
      <x:c r="E139" s="13" t="str">
        <x:v>What is the exam type for WP3 Information Retrieval?</x:v>
      </x:c>
      <x:c r="F139" s="13" t="str">
        <x:v>module+section</x:v>
      </x:c>
      <x:c r="G139" s="13" t="str">
        <x:v>lmu_computerlinguistik_bsc_stand_2025-09-24.pdf</x:v>
      </x:c>
      <x:c r="H139" s="13" t="str">
        <x:v>WP3</x:v>
      </x:c>
      <x:c r="I139" s="13" t="str">
        <x:v>Form der Modulprüfung</x:v>
      </x:c>
      <x:c r="J139" s="13" t="str">
        <x:v>lmu_computerlinguistik_bsc_stand_2025-09-24.pdf</x:v>
      </x:c>
      <x:c r="K139" s="13" t="str">
        <x:v>WP3</x:v>
      </x:c>
      <x:c r="L139" s="13" t="str">
        <x:v>Form der Modulprüfung</x:v>
      </x:c>
      <x:c r="M139" s="13" t="n">
        <x:v>1</x:v>
      </x:c>
      <x:c r="N139" s="13" t="str">
        <x:v>lmu_computerlinguistik_bsc_stand_2025-09-24.pdf::WP3::Form der Modulprüfung</x:v>
      </x:c>
      <x:c r="O139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39" s="13" t="n">
        <x:v>1</x:v>
      </x:c>
      <x:c r="Q139" s="13" t="n">
        <x:v>1</x:v>
      </x:c>
      <x:c r="R139" s="15" t="n">
        <x:v>0.3333333333333333</x:v>
      </x:c>
      <x:c r="S139" s="15" t="n">
        <x:v>1</x:v>
      </x:c>
      <x:c r="T139" s="15" t="n">
        <x:v>1</x:v>
      </x:c>
      <x:c r="U139" s="15" t="n">
        <x:v>1</x:v>
      </x:c>
      <x:c r="V139" s="15" t="n">
        <x:v>1</x:v>
      </x:c>
      <x:c r="W139" s="13" t="str">
        <x:v>vollständig</x:v>
      </x:c>
    </x:row>
    <x:row r="140">
      <x:c r="A140" s="13" t="str">
        <x:v>Mehrsprachig n=18</x:v>
      </x:c>
      <x:c r="B140" s="13" t="str">
        <x:v>Hybrid_alpha_0.25</x:v>
      </x:c>
      <x:c r="C140" s="13" t="str">
        <x:v>m01_tr</x:v>
      </x:c>
      <x:c r="D140" s="13" t="str">
        <x:v>exam</x:v>
      </x:c>
      <x:c r="E140" s="13" t="str">
        <x:v>WP3 Information Retrieval dersinin sınav şekli nedir?</x:v>
      </x:c>
      <x:c r="F140" s="13" t="str">
        <x:v>module+section</x:v>
      </x:c>
      <x:c r="G140" s="13" t="str">
        <x:v>lmu_computerlinguistik_bsc_stand_2025-09-24.pdf</x:v>
      </x:c>
      <x:c r="H140" s="13" t="str">
        <x:v>WP3</x:v>
      </x:c>
      <x:c r="I140" s="13" t="str">
        <x:v>Form der Modulprüfung</x:v>
      </x:c>
      <x:c r="J140" s="13" t="str">
        <x:v>lmu_computerlinguistik_bsc_stand_2025-09-24.pdf</x:v>
      </x:c>
      <x:c r="K140" s="13" t="str">
        <x:v>WP3</x:v>
      </x:c>
      <x:c r="L140" s="13" t="str">
        <x:v>Form der Modulprüfung</x:v>
      </x:c>
      <x:c r="M140" s="13" t="n">
        <x:v>1</x:v>
      </x:c>
      <x:c r="N140" s="13" t="str">
        <x:v>lmu_computerlinguistik_bsc_stand_2025-09-24.pdf::WP3::Form der Modulprüfung</x:v>
      </x:c>
      <x:c r="O140" s="13" t="str">
        <x:v>lmu_computerlinguistik_bsc_stand_2025-09-24.pdf::WP3::Form der Modulprüfung | lmu_computerlinguistik_bsc_stand_2025-09-24.pdf::P5::Form der Modulprüfung | lmu_computerlinguistik_bsc_stand_2025-09-24.pdf::P7::Form der Modulprüfung</x:v>
      </x:c>
      <x:c r="P140" s="13" t="n">
        <x:v>1</x:v>
      </x:c>
      <x:c r="Q140" s="13" t="n">
        <x:v>1</x:v>
      </x:c>
      <x:c r="R140" s="15" t="n">
        <x:v>0.3333333333333333</x:v>
      </x:c>
      <x:c r="S140" s="15" t="n">
        <x:v>1</x:v>
      </x:c>
      <x:c r="T140" s="15" t="n">
        <x:v>1</x:v>
      </x:c>
      <x:c r="U140" s="15" t="n">
        <x:v>1</x:v>
      </x:c>
      <x:c r="V140" s="15" t="n">
        <x:v>1</x:v>
      </x:c>
      <x:c r="W140" s="13" t="str">
        <x:v>vollständig</x:v>
      </x:c>
    </x:row>
    <x:row r="141">
      <x:c r="A141" s="13" t="str">
        <x:v>Mehrsprachig n=18</x:v>
      </x:c>
      <x:c r="B141" s="13" t="str">
        <x:v>Hybrid_alpha_0.25</x:v>
      </x:c>
      <x:c r="C141" s="13" t="str">
        <x:v>m02_de</x:v>
      </x:c>
      <x:c r="D141" s="13" t="str">
        <x:v>numerical</x:v>
      </x:c>
      <x:c r="E141" s="13" t="str">
        <x:v>Wie viele ECTS hat WP3 Information Retrieval?</x:v>
      </x:c>
      <x:c r="F141" s="13" t="str">
        <x:v>module+section</x:v>
      </x:c>
      <x:c r="G141" s="13" t="str">
        <x:v>lmu_computerlinguistik_bsc_stand_2025-09-24.pdf</x:v>
      </x:c>
      <x:c r="H141" s="13" t="str">
        <x:v>WP3</x:v>
      </x:c>
      <x:c r="I141" s="13" t="str">
        <x:v>Zugeordnete Modulteile</x:v>
      </x:c>
      <x:c r="J141" s="13" t="str">
        <x:v>lmu_computerlinguistik_bsc_stand_2025-09-24.pdf</x:v>
      </x:c>
      <x:c r="K141" s="13" t="str">
        <x:v>WP3</x:v>
      </x:c>
      <x:c r="L141" s="13" t="str">
        <x:v>Zugeordnete Modulteile</x:v>
      </x:c>
      <x:c r="M141" s="13" t="n">
        <x:v>1</x:v>
      </x:c>
      <x:c r="N141" s="13" t="str">
        <x:v>lmu_computerlinguistik_bsc_stand_2025-09-24.pdf::WP3::Zugeordnete Modulteile</x:v>
      </x:c>
      <x:c r="O141" s="13" t="str">
        <x:v>lmu_computerlinguistik_bsc_stand_2025-09-24.pdf::WP3::Zugeordnete Modulteile | lmu_computerlinguistik_bsc_stand_2025-09-24.pdf::WP3::Voraussetzung für die Vergabe | lmu_computerlinguistik_bsc_stand_2025-09-24.pdf::P13::Zugeordnete Modulteile</x:v>
      </x:c>
      <x:c r="P141" s="13" t="n">
        <x:v>1</x:v>
      </x:c>
      <x:c r="Q141" s="13" t="n">
        <x:v>1</x:v>
      </x:c>
      <x:c r="R141" s="15" t="n">
        <x:v>0.3333333333333333</x:v>
      </x:c>
      <x:c r="S141" s="15" t="n">
        <x:v>1</x:v>
      </x:c>
      <x:c r="T141" s="15" t="n">
        <x:v>1</x:v>
      </x:c>
      <x:c r="U141" s="15" t="n">
        <x:v>1</x:v>
      </x:c>
      <x:c r="V141" s="15" t="n">
        <x:v>1</x:v>
      </x:c>
      <x:c r="W141" s="13" t="str">
        <x:v>vollständig</x:v>
      </x:c>
    </x:row>
    <x:row r="142">
      <x:c r="A142" s="13" t="str">
        <x:v>Mehrsprachig n=18</x:v>
      </x:c>
      <x:c r="B142" s="13" t="str">
        <x:v>Hybrid_alpha_0.25</x:v>
      </x:c>
      <x:c r="C142" s="13" t="str">
        <x:v>m02_en</x:v>
      </x:c>
      <x:c r="D142" s="13" t="str">
        <x:v>numerical</x:v>
      </x:c>
      <x:c r="E142" s="13" t="str">
        <x:v>How many ECTS credits does WP3 Information Retrieval have?</x:v>
      </x:c>
      <x:c r="F142" s="13" t="str">
        <x:v>module+section</x:v>
      </x:c>
      <x:c r="G142" s="13" t="str">
        <x:v>lmu_computerlinguistik_bsc_stand_2025-09-24.pdf</x:v>
      </x:c>
      <x:c r="H142" s="13" t="str">
        <x:v>WP3</x:v>
      </x:c>
      <x:c r="I142" s="13" t="str">
        <x:v>Zugeordnete Modulteile</x:v>
      </x:c>
      <x:c r="J142" s="13" t="str">
        <x:v>lmu_computerlinguistik_bsc_stand_2025-09-24.pdf</x:v>
      </x:c>
      <x:c r="K142" s="13" t="str">
        <x:v>WP3</x:v>
      </x:c>
      <x:c r="L142" s="13" t="str">
        <x:v>Zugeordnete Modulteile</x:v>
      </x:c>
      <x:c r="M142" s="13" t="n">
        <x:v>1</x:v>
      </x:c>
      <x:c r="N142" s="13" t="str">
        <x:v>lmu_computerlinguistik_bsc_stand_2025-09-24.pdf::WP3::Zugeordnete Modulteile</x:v>
      </x:c>
      <x:c r="O142" s="13" t="str">
        <x:v>lmu_computerlinguistik_bsc_stand_2025-09-24.pdf::WP3::Zugeordnete Modulteile | lmu_computerlinguistik_bsc_stand_2025-09-24.pdf::WP3::Voraussetzung für die Vergabe | lmu_computerlinguistik_bsc_stand_2025-09-24.pdf::P13::Zugeordnete Modulteile</x:v>
      </x:c>
      <x:c r="P142" s="13" t="n">
        <x:v>1</x:v>
      </x:c>
      <x:c r="Q142" s="13" t="n">
        <x:v>1</x:v>
      </x:c>
      <x:c r="R142" s="15" t="n">
        <x:v>0.3333333333333333</x:v>
      </x:c>
      <x:c r="S142" s="15" t="n">
        <x:v>1</x:v>
      </x:c>
      <x:c r="T142" s="15" t="n">
        <x:v>1</x:v>
      </x:c>
      <x:c r="U142" s="15" t="n">
        <x:v>1</x:v>
      </x:c>
      <x:c r="V142" s="15" t="n">
        <x:v>1</x:v>
      </x:c>
      <x:c r="W142" s="13" t="str">
        <x:v>vollständig</x:v>
      </x:c>
    </x:row>
    <x:row r="143">
      <x:c r="A143" s="13" t="str">
        <x:v>Mehrsprachig n=18</x:v>
      </x:c>
      <x:c r="B143" s="13" t="str">
        <x:v>Hybrid_alpha_0.25</x:v>
      </x:c>
      <x:c r="C143" s="13" t="str">
        <x:v>m02_tr</x:v>
      </x:c>
      <x:c r="D143" s="13" t="str">
        <x:v>numerical</x:v>
      </x:c>
      <x:c r="E143" s="13" t="str">
        <x:v>WP3 Information Retrieval kaç ECTS kredisi?</x:v>
      </x:c>
      <x:c r="F143" s="13" t="str">
        <x:v>module+section</x:v>
      </x:c>
      <x:c r="G143" s="13" t="str">
        <x:v>lmu_computerlinguistik_bsc_stand_2025-09-24.pdf</x:v>
      </x:c>
      <x:c r="H143" s="13" t="str">
        <x:v>WP3</x:v>
      </x:c>
      <x:c r="I143" s="13" t="str">
        <x:v>Zugeordnete Modulteile</x:v>
      </x:c>
      <x:c r="J143" s="13" t="str">
        <x:v>lmu_computerlinguistik_bsc_stand_2025-09-24.pdf</x:v>
      </x:c>
      <x:c r="K143" s="13" t="str">
        <x:v>WP3</x:v>
      </x:c>
      <x:c r="L143" s="13" t="str">
        <x:v>Zugeordnete Modulteile</x:v>
      </x:c>
      <x:c r="M143" s="13" t="n">
        <x:v>1</x:v>
      </x:c>
      <x:c r="N143" s="13" t="str">
        <x:v>lmu_computerlinguistik_bsc_stand_2025-09-24.pdf::WP3::Zugeordnete Modulteile</x:v>
      </x:c>
      <x:c r="O143" s="13" t="str">
        <x:v>lmu_computerlinguistik_bsc_stand_2025-09-24.pdf::WP3::Zugeordnete Modulteile | lmu_computerlinguistik_bsc_stand_2025-09-24.pdf::WP3::Voraussetzung für die Vergabe | lmu_computerlinguistik_bsc_stand_2025-09-24.pdf::P13::Zugeordnete Modulteile</x:v>
      </x:c>
      <x:c r="P143" s="13" t="n">
        <x:v>1</x:v>
      </x:c>
      <x:c r="Q143" s="13" t="n">
        <x:v>1</x:v>
      </x:c>
      <x:c r="R143" s="15" t="n">
        <x:v>0.3333333333333333</x:v>
      </x:c>
      <x:c r="S143" s="15" t="n">
        <x:v>1</x:v>
      </x:c>
      <x:c r="T143" s="15" t="n">
        <x:v>1</x:v>
      </x:c>
      <x:c r="U143" s="15" t="n">
        <x:v>1</x:v>
      </x:c>
      <x:c r="V143" s="15" t="n">
        <x:v>1</x:v>
      </x:c>
      <x:c r="W143" s="13" t="str">
        <x:v>vollständig</x:v>
      </x:c>
    </x:row>
    <x:row r="144">
      <x:c r="A144" s="13" t="str">
        <x:v>Mehrsprachig n=18</x:v>
      </x:c>
      <x:c r="B144" s="13" t="str">
        <x:v>Hybrid_alpha_0.25</x:v>
      </x:c>
      <x:c r="C144" s="13" t="str">
        <x:v>m03_de</x:v>
      </x:c>
      <x:c r="D144" s="13" t="str">
        <x:v>responsible_person</x:v>
      </x:c>
      <x:c r="E144" s="13" t="str">
        <x:v>Wer ist modulverantwortlich für P10 Statistische Methoden in der Sprachverarbeitung?</x:v>
      </x:c>
      <x:c r="F144" s="13" t="str">
        <x:v>module+section</x:v>
      </x:c>
      <x:c r="G144" s="13" t="str">
        <x:v>lmu_computerlinguistik_bsc_stand_2025-09-24.pdf</x:v>
      </x:c>
      <x:c r="H144" s="13" t="str">
        <x:v>P10</x:v>
      </x:c>
      <x:c r="I144" s="13" t="str">
        <x:v>Modulverantwortliche/r</x:v>
      </x:c>
      <x:c r="J144" s="13" t="str">
        <x:v>lmu_computerlinguistik_bsc_stand_2025-09-24.pdf</x:v>
      </x:c>
      <x:c r="K144" s="13" t="str">
        <x:v>P10</x:v>
      </x:c>
      <x:c r="L144" s="13" t="str">
        <x:v>Modulverantwortliche/r</x:v>
      </x:c>
      <x:c r="M144" s="13" t="n">
        <x:v>1</x:v>
      </x:c>
      <x:c r="N144" s="13" t="str">
        <x:v>lmu_computerlinguistik_bsc_stand_2025-09-24.pdf::P10::Modulverantwortliche/r</x:v>
      </x:c>
      <x:c r="O144" s="13" t="str">
        <x:v>lmu_computerlinguistik_bsc_stand_2025-09-24.pdf::P10::Modulverantwortliche/r | lmu_computerlinguistik_bsc_stand_2025-09-24.pdf::P10::header | lmu_computerlinguistik_bsc_stand_2025-09-24.pdf::P10::Englischer Modultitel</x:v>
      </x:c>
      <x:c r="P144" s="13" t="n">
        <x:v>1</x:v>
      </x:c>
      <x:c r="Q144" s="13" t="n">
        <x:v>1</x:v>
      </x:c>
      <x:c r="R144" s="15" t="n">
        <x:v>0.3333333333333333</x:v>
      </x:c>
      <x:c r="S144" s="15" t="n">
        <x:v>1</x:v>
      </x:c>
      <x:c r="T144" s="15" t="n">
        <x:v>1</x:v>
      </x:c>
      <x:c r="U144" s="15" t="n">
        <x:v>1</x:v>
      </x:c>
      <x:c r="V144" s="15" t="n">
        <x:v>1</x:v>
      </x:c>
      <x:c r="W144" s="13" t="str">
        <x:v>vollständig</x:v>
      </x:c>
    </x:row>
    <x:row r="145">
      <x:c r="A145" s="13" t="str">
        <x:v>Mehrsprachig n=18</x:v>
      </x:c>
      <x:c r="B145" s="13" t="str">
        <x:v>Hybrid_alpha_0.25</x:v>
      </x:c>
      <x:c r="C145" s="13" t="str">
        <x:v>m03_en</x:v>
      </x:c>
      <x:c r="D145" s="13" t="str">
        <x:v>responsible_person</x:v>
      </x:c>
      <x:c r="E145" s="13" t="str">
        <x:v>Who is responsible for P10 Statistical Methods in Natural Language Processing?</x:v>
      </x:c>
      <x:c r="F145" s="13" t="str">
        <x:v>module+section</x:v>
      </x:c>
      <x:c r="G145" s="13" t="str">
        <x:v>lmu_computerlinguistik_bsc_stand_2025-09-24.pdf</x:v>
      </x:c>
      <x:c r="H145" s="13" t="str">
        <x:v>P10</x:v>
      </x:c>
      <x:c r="I145" s="13" t="str">
        <x:v>Modulverantwortliche/r</x:v>
      </x:c>
      <x:c r="J145" s="13" t="str">
        <x:v>lmu_computerlinguistik_bsc_stand_2025-09-24.pdf</x:v>
      </x:c>
      <x:c r="K145" s="13" t="str">
        <x:v>P10</x:v>
      </x:c>
      <x:c r="L145" s="13" t="str">
        <x:v>Unterrichtssprache</x:v>
      </x:c>
      <x:c r="M145" s="13" t="n">
        <x:v>3</x:v>
      </x:c>
      <x:c r="N145" s="13" t="str">
        <x:v>lmu_computerlinguistik_bsc_stand_2025-09-24.pdf::P10::Modulverantwortliche/r</x:v>
      </x:c>
      <x:c r="O145" s="13" t="str">
        <x:v>lmu_computerlinguistik_bsc_stand_2025-09-24.pdf::P10::Unterrichtssprache | lmu_computerlinguistik_bsc_stand_2025-09-24.pdf::P10::Englischer Modultitel | lmu_computerlinguistik_bsc_stand_2025-09-24.pdf::P10::Modulverantwortliche/r</x:v>
      </x:c>
      <x:c r="P145" s="13" t="n">
        <x:v>1</x:v>
      </x:c>
      <x:c r="Q145" s="13" t="n">
        <x:v>1</x:v>
      </x:c>
      <x:c r="R145" s="15" t="n">
        <x:v>0.3333333333333333</x:v>
      </x:c>
      <x:c r="S145" s="15" t="n">
        <x:v>1</x:v>
      </x:c>
      <x:c r="T145" s="15" t="n">
        <x:v>0.3333333333333333</x:v>
      </x:c>
      <x:c r="U145" s="15" t="n">
        <x:v>0.5</x:v>
      </x:c>
      <x:c r="V145" s="15"/>
      <x:c r="W145" s="13" t="str">
        <x:v>vollständig</x:v>
      </x:c>
    </x:row>
    <x:row r="146">
      <x:c r="A146" s="13" t="str">
        <x:v>Mehrsprachig n=18</x:v>
      </x:c>
      <x:c r="B146" s="13" t="str">
        <x:v>Hybrid_alpha_0.25</x:v>
      </x:c>
      <x:c r="C146" s="13" t="str">
        <x:v>m03_tr</x:v>
      </x:c>
      <x:c r="D146" s="13" t="str">
        <x:v>responsible_person</x:v>
      </x:c>
      <x:c r="E146" s="13" t="str">
        <x:v>P10 Statistische Methoden in der Sprachverarbeitung modülünden kim sorumludur?</x:v>
      </x:c>
      <x:c r="F146" s="13" t="str">
        <x:v>module+section</x:v>
      </x:c>
      <x:c r="G146" s="13" t="str">
        <x:v>lmu_computerlinguistik_bsc_stand_2025-09-24.pdf</x:v>
      </x:c>
      <x:c r="H146" s="13" t="str">
        <x:v>P10</x:v>
      </x:c>
      <x:c r="I146" s="13" t="str">
        <x:v>Modulverantwortliche/r</x:v>
      </x:c>
      <x:c r="J146" s="13" t="str">
        <x:v>lmu_computerlinguistik_bsc_stand_2025-09-24.pdf</x:v>
      </x:c>
      <x:c r="K146" s="13" t="str">
        <x:v>P10</x:v>
      </x:c>
      <x:c r="L146" s="13" t="str">
        <x:v>Modulverantwortliche/r</x:v>
      </x:c>
      <x:c r="M146" s="13" t="n">
        <x:v>1</x:v>
      </x:c>
      <x:c r="N146" s="13" t="str">
        <x:v>lmu_computerlinguistik_bsc_stand_2025-09-24.pdf::P10::Modulverantwortliche/r</x:v>
      </x:c>
      <x:c r="O146" s="13" t="str">
        <x:v>lmu_computerlinguistik_bsc_stand_2025-09-24.pdf::P10::Modulverantwortliche/r | lmu_computerlinguistik_bsc_stand_2025-09-24.pdf::P10::header | lmu_computerlinguistik_bsc_stand_2025-09-24.pdf::P10::Wahlpflichtregelungen</x:v>
      </x:c>
      <x:c r="P146" s="13" t="n">
        <x:v>1</x:v>
      </x:c>
      <x:c r="Q146" s="13" t="n">
        <x:v>1</x:v>
      </x:c>
      <x:c r="R146" s="15" t="n">
        <x:v>0.3333333333333333</x:v>
      </x:c>
      <x:c r="S146" s="15" t="n">
        <x:v>1</x:v>
      </x:c>
      <x:c r="T146" s="15" t="n">
        <x:v>1</x:v>
      </x:c>
      <x:c r="U146" s="15" t="n">
        <x:v>1</x:v>
      </x:c>
      <x:c r="V146" s="15" t="n">
        <x:v>1</x:v>
      </x:c>
      <x:c r="W146" s="13" t="str">
        <x:v>vollständig</x:v>
      </x:c>
    </x:row>
    <x:row r="147">
      <x:c r="A147" s="13" t="str">
        <x:v>Mehrsprachig n=18</x:v>
      </x:c>
      <x:c r="B147" s="13" t="str">
        <x:v>Hybrid_alpha_0.25</x:v>
      </x:c>
      <x:c r="C147" s="13" t="str">
        <x:v>m04_de</x:v>
      </x:c>
      <x:c r="D147" s="13" t="str">
        <x:v>semester</x:v>
      </x:c>
      <x:c r="E147" s="13" t="str">
        <x:v>In welchem Semester wird P8 empfohlen?</x:v>
      </x:c>
      <x:c r="F147" s="13" t="str">
        <x:v>module+section</x:v>
      </x:c>
      <x:c r="G147" s="13" t="str">
        <x:v>lmu_computerlinguistik_bsc_stand_2025-09-24.pdf</x:v>
      </x:c>
      <x:c r="H147" s="13" t="str">
        <x:v>P8</x:v>
      </x:c>
      <x:c r="I147" s="13" t="str">
        <x:v>Zeitpunkt im Studienverlauf</x:v>
      </x:c>
      <x:c r="J147" s="13" t="str">
        <x:v>lmu_computerlinguistik_bsc_stand_2025-09-24.pdf</x:v>
      </x:c>
      <x:c r="K147" s="13" t="str">
        <x:v>P8</x:v>
      </x:c>
      <x:c r="L147" s="13" t="str">
        <x:v>Zeitpunkt im Studienverlauf</x:v>
      </x:c>
      <x:c r="M147" s="13" t="n">
        <x:v>1</x:v>
      </x:c>
      <x:c r="N147" s="13" t="str">
        <x:v>lmu_computerlinguistik_bsc_stand_2025-09-24.pdf::P8::Zeitpunkt im Studienverlauf</x:v>
      </x:c>
      <x:c r="O147" s="13" t="str">
        <x:v>lmu_computerlinguistik_bsc_stand_2025-09-24.pdf::P8::Zeitpunkt im Studienverlauf | lmu_computerlinguistik_bsc_stand_2025-09-24.pdf::P7::Zeitpunkt im Studienverlauf | lmu_computerlinguistik_bsc_stand_2025-09-24.pdf::P11::Zeitpunkt im Studienverlauf</x:v>
      </x:c>
      <x:c r="P147" s="13" t="n">
        <x:v>1</x:v>
      </x:c>
      <x:c r="Q147" s="13" t="n">
        <x:v>1</x:v>
      </x:c>
      <x:c r="R147" s="15" t="n">
        <x:v>0.3333333333333333</x:v>
      </x:c>
      <x:c r="S147" s="15" t="n">
        <x:v>1</x:v>
      </x:c>
      <x:c r="T147" s="15" t="n">
        <x:v>1</x:v>
      </x:c>
      <x:c r="U147" s="15" t="n">
        <x:v>1</x:v>
      </x:c>
      <x:c r="V147" s="15" t="n">
        <x:v>1</x:v>
      </x:c>
      <x:c r="W147" s="13" t="str">
        <x:v>vollständig</x:v>
      </x:c>
    </x:row>
    <x:row r="148">
      <x:c r="A148" s="13" t="str">
        <x:v>Mehrsprachig n=18</x:v>
      </x:c>
      <x:c r="B148" s="13" t="str">
        <x:v>Hybrid_alpha_0.25</x:v>
      </x:c>
      <x:c r="C148" s="13" t="str">
        <x:v>m04_en</x:v>
      </x:c>
      <x:c r="D148" s="13" t="str">
        <x:v>semester</x:v>
      </x:c>
      <x:c r="E148" s="13" t="str">
        <x:v>In which semester is P8 recommended?</x:v>
      </x:c>
      <x:c r="F148" s="13" t="str">
        <x:v>module+section</x:v>
      </x:c>
      <x:c r="G148" s="13" t="str">
        <x:v>lmu_computerlinguistik_bsc_stand_2025-09-24.pdf</x:v>
      </x:c>
      <x:c r="H148" s="13" t="str">
        <x:v>P8</x:v>
      </x:c>
      <x:c r="I148" s="13" t="str">
        <x:v>Zeitpunkt im Studienverlauf</x:v>
      </x:c>
      <x:c r="J148" s="13" t="str">
        <x:v>lmu_computerlinguistik_bsc_stand_2025-09-24.pdf</x:v>
      </x:c>
      <x:c r="K148" s="13" t="str">
        <x:v>P8</x:v>
      </x:c>
      <x:c r="L148" s="13" t="str">
        <x:v>Zeitpunkt im Studienverlauf</x:v>
      </x:c>
      <x:c r="M148" s="13" t="n">
        <x:v>1</x:v>
      </x:c>
      <x:c r="N148" s="13" t="str">
        <x:v>lmu_computerlinguistik_bsc_stand_2025-09-24.pdf::P8::Zeitpunkt im Studienverlauf</x:v>
      </x:c>
      <x:c r="O148" s="13" t="str">
        <x:v>lmu_computerlinguistik_bsc_stand_2025-09-24.pdf::P8::Zeitpunkt im Studienverlauf | lmu_computerlinguistik_bsc_stand_2025-09-24.pdf::P7::Zeitpunkt im Studienverlauf | lmu_computerlinguistik_bsc_stand_2025-09-24.pdf::P11::Zeitpunkt im Studienverlauf</x:v>
      </x:c>
      <x:c r="P148" s="13" t="n">
        <x:v>1</x:v>
      </x:c>
      <x:c r="Q148" s="13" t="n">
        <x:v>1</x:v>
      </x:c>
      <x:c r="R148" s="15" t="n">
        <x:v>0.3333333333333333</x:v>
      </x:c>
      <x:c r="S148" s="15" t="n">
        <x:v>1</x:v>
      </x:c>
      <x:c r="T148" s="15" t="n">
        <x:v>1</x:v>
      </x:c>
      <x:c r="U148" s="15" t="n">
        <x:v>1</x:v>
      </x:c>
      <x:c r="V148" s="15" t="n">
        <x:v>1</x:v>
      </x:c>
      <x:c r="W148" s="13" t="str">
        <x:v>vollständig</x:v>
      </x:c>
    </x:row>
    <x:row r="149">
      <x:c r="A149" s="13" t="str">
        <x:v>Mehrsprachig n=18</x:v>
      </x:c>
      <x:c r="B149" s="13" t="str">
        <x:v>Hybrid_alpha_0.25</x:v>
      </x:c>
      <x:c r="C149" s="13" t="str">
        <x:v>m04_tr</x:v>
      </x:c>
      <x:c r="D149" s="13" t="str">
        <x:v>semester</x:v>
      </x:c>
      <x:c r="E149" s="13" t="str">
        <x:v>P8 hangi dönemde öneriliyor?</x:v>
      </x:c>
      <x:c r="F149" s="13" t="str">
        <x:v>module+section</x:v>
      </x:c>
      <x:c r="G149" s="13" t="str">
        <x:v>lmu_computerlinguistik_bsc_stand_2025-09-24.pdf</x:v>
      </x:c>
      <x:c r="H149" s="13" t="str">
        <x:v>P8</x:v>
      </x:c>
      <x:c r="I149" s="13" t="str">
        <x:v>Zeitpunkt im Studienverlauf</x:v>
      </x:c>
      <x:c r="J149" s="13" t="str">
        <x:v>lmu_computerlinguistik_bsc_stand_2025-09-24.pdf</x:v>
      </x:c>
      <x:c r="K149" s="13" t="str">
        <x:v>P8</x:v>
      </x:c>
      <x:c r="L149" s="13" t="str">
        <x:v>Zeitpunkt im Studienverlauf</x:v>
      </x:c>
      <x:c r="M149" s="13" t="n">
        <x:v>1</x:v>
      </x:c>
      <x:c r="N149" s="13" t="str">
        <x:v>lmu_computerlinguistik_bsc_stand_2025-09-24.pdf::P8::Zeitpunkt im Studienverlauf</x:v>
      </x:c>
      <x:c r="O149" s="13" t="str">
        <x:v>lmu_computerlinguistik_bsc_stand_2025-09-24.pdf::P8::Zeitpunkt im Studienverlauf | lmu_computerlinguistik_bsc_stand_2025-09-24.pdf::P9::Zeitpunkt im Studienverlauf | lmu_computerlinguistik_bsc_stand_2025-09-24.pdf::P11::Zeitpunkt im Studienverlauf</x:v>
      </x:c>
      <x:c r="P149" s="13" t="n">
        <x:v>1</x:v>
      </x:c>
      <x:c r="Q149" s="13" t="n">
        <x:v>1</x:v>
      </x:c>
      <x:c r="R149" s="15" t="n">
        <x:v>0.3333333333333333</x:v>
      </x:c>
      <x:c r="S149" s="15" t="n">
        <x:v>1</x:v>
      </x:c>
      <x:c r="T149" s="15" t="n">
        <x:v>1</x:v>
      </x:c>
      <x:c r="U149" s="15" t="n">
        <x:v>1</x:v>
      </x:c>
      <x:c r="V149" s="15" t="n">
        <x:v>1</x:v>
      </x:c>
      <x:c r="W149" s="13" t="str">
        <x:v>vollständig</x:v>
      </x:c>
    </x:row>
    <x:row r="150">
      <x:c r="A150" s="13" t="str">
        <x:v>Mehrsprachig n=18</x:v>
      </x:c>
      <x:c r="B150" s="13" t="str">
        <x:v>Hybrid_alpha_0.25</x:v>
      </x:c>
      <x:c r="C150" s="13" t="str">
        <x:v>m05_de</x:v>
      </x:c>
      <x:c r="D150" s="13" t="str">
        <x:v>content</x:v>
      </x:c>
      <x:c r="E150" s="13" t="str">
        <x:v>Welche Inhalte behandelt P11 Informationsextraktion?</x:v>
      </x:c>
      <x:c r="F150" s="13" t="str">
        <x:v>module+section</x:v>
      </x:c>
      <x:c r="G150" s="13" t="str">
        <x:v>lmu_computerlinguistik_bsc_stand_2025-09-24.pdf</x:v>
      </x:c>
      <x:c r="H150" s="13" t="str">
        <x:v>P11</x:v>
      </x:c>
      <x:c r="I150" s="13" t="str">
        <x:v>Inhalte</x:v>
      </x:c>
      <x:c r="J150" s="13" t="str">
        <x:v>lmu_computerlinguistik_bsc_stand_2025-09-24.pdf</x:v>
      </x:c>
      <x:c r="K150" s="13" t="str">
        <x:v>P11</x:v>
      </x:c>
      <x:c r="L150" s="13" t="str">
        <x:v>Inhalte</x:v>
      </x:c>
      <x:c r="M150" s="13" t="n">
        <x:v>1</x:v>
      </x:c>
      <x:c r="N150" s="13" t="str">
        <x:v>lmu_computerlinguistik_bsc_stand_2025-09-24.pdf::P11::Inhalte</x:v>
      </x:c>
      <x:c r="O150" s="13" t="str">
        <x:v>lmu_computerlinguistik_bsc_stand_2025-09-24.pdf::P11::Inhalte | lmu_computerlinguistik_bsc_stand_2025-09-24.pdf::P12::Inhalte | lmu_computerlinguistik_bsc_stand_2025-09-24.pdf::P7::Inhalte</x:v>
      </x:c>
      <x:c r="P150" s="13" t="n">
        <x:v>1</x:v>
      </x:c>
      <x:c r="Q150" s="13" t="n">
        <x:v>1</x:v>
      </x:c>
      <x:c r="R150" s="15" t="n">
        <x:v>0.3333333333333333</x:v>
      </x:c>
      <x:c r="S150" s="15" t="n">
        <x:v>1</x:v>
      </x:c>
      <x:c r="T150" s="15" t="n">
        <x:v>1</x:v>
      </x:c>
      <x:c r="U150" s="15" t="n">
        <x:v>1</x:v>
      </x:c>
      <x:c r="V150" s="15" t="n">
        <x:v>1</x:v>
      </x:c>
      <x:c r="W150" s="13" t="str">
        <x:v>vollständig</x:v>
      </x:c>
    </x:row>
    <x:row r="151">
      <x:c r="A151" s="13" t="str">
        <x:v>Mehrsprachig n=18</x:v>
      </x:c>
      <x:c r="B151" s="13" t="str">
        <x:v>Hybrid_alpha_0.25</x:v>
      </x:c>
      <x:c r="C151" s="13" t="str">
        <x:v>m05_en</x:v>
      </x:c>
      <x:c r="D151" s="13" t="str">
        <x:v>content</x:v>
      </x:c>
      <x:c r="E151" s="13" t="str">
        <x:v>What topics are covered in P11 Information Extraction?</x:v>
      </x:c>
      <x:c r="F151" s="13" t="str">
        <x:v>module+section</x:v>
      </x:c>
      <x:c r="G151" s="13" t="str">
        <x:v>lmu_computerlinguistik_bsc_stand_2025-09-24.pdf</x:v>
      </x:c>
      <x:c r="H151" s="13" t="str">
        <x:v>P11</x:v>
      </x:c>
      <x:c r="I151" s="13" t="str">
        <x:v>Inhalte</x:v>
      </x:c>
      <x:c r="J151" s="13" t="str">
        <x:v>lmu_computerlinguistik_bsc_stand_2025-09-24.pdf</x:v>
      </x:c>
      <x:c r="K151" s="13" t="str">
        <x:v>P11</x:v>
      </x:c>
      <x:c r="L151" s="13" t="str">
        <x:v>Englischer Modultitel</x:v>
      </x:c>
      <x:c r="M151" s="13" t="n">
        <x:v>3</x:v>
      </x:c>
      <x:c r="N151" s="13" t="str">
        <x:v>lmu_computerlinguistik_bsc_stand_2025-09-24.pdf::P11::Inhalte</x:v>
      </x:c>
      <x:c r="O151" s="13" t="str">
        <x:v>lmu_computerlinguistik_bsc_stand_2025-09-24.pdf::P11::Englischer Modultitel | lmu_computerlinguistik_bsc_stand_2025-09-24.pdf::WP3::Inhalte | lmu_computerlinguistik_bsc_stand_2025-09-24.pdf::P11::Inhalte</x:v>
      </x:c>
      <x:c r="P151" s="13" t="n">
        <x:v>1</x:v>
      </x:c>
      <x:c r="Q151" s="13" t="n">
        <x:v>1</x:v>
      </x:c>
      <x:c r="R151" s="15" t="n">
        <x:v>0.3333333333333333</x:v>
      </x:c>
      <x:c r="S151" s="15" t="n">
        <x:v>1</x:v>
      </x:c>
      <x:c r="T151" s="15" t="n">
        <x:v>0.3333333333333333</x:v>
      </x:c>
      <x:c r="U151" s="15" t="n">
        <x:v>0.5</x:v>
      </x:c>
      <x:c r="V151" s="15"/>
      <x:c r="W151" s="13" t="str">
        <x:v>vollständig</x:v>
      </x:c>
    </x:row>
    <x:row r="152">
      <x:c r="A152" s="13" t="str">
        <x:v>Mehrsprachig n=18</x:v>
      </x:c>
      <x:c r="B152" s="13" t="str">
        <x:v>Hybrid_alpha_0.25</x:v>
      </x:c>
      <x:c r="C152" s="13" t="str">
        <x:v>m05_tr</x:v>
      </x:c>
      <x:c r="D152" s="13" t="str">
        <x:v>content</x:v>
      </x:c>
      <x:c r="E152" s="13" t="str">
        <x:v>P11 Informationsextraktion hangi konuları içeriyor?</x:v>
      </x:c>
      <x:c r="F152" s="13" t="str">
        <x:v>module+section</x:v>
      </x:c>
      <x:c r="G152" s="13" t="str">
        <x:v>lmu_computerlinguistik_bsc_stand_2025-09-24.pdf</x:v>
      </x:c>
      <x:c r="H152" s="13" t="str">
        <x:v>P11</x:v>
      </x:c>
      <x:c r="I152" s="13" t="str">
        <x:v>Inhalte</x:v>
      </x:c>
      <x:c r="J152" s="13" t="str">
        <x:v>lmu_computerlinguistik_bsc_stand_2025-09-24.pdf</x:v>
      </x:c>
      <x:c r="K152" s="13" t="str">
        <x:v>P11</x:v>
      </x:c>
      <x:c r="L152" s="13" t="str">
        <x:v>Inhalte</x:v>
      </x:c>
      <x:c r="M152" s="13" t="n">
        <x:v>1</x:v>
      </x:c>
      <x:c r="N152" s="13" t="str">
        <x:v>lmu_computerlinguistik_bsc_stand_2025-09-24.pdf::P11::Inhalte</x:v>
      </x:c>
      <x:c r="O152" s="13" t="str">
        <x:v>lmu_computerlinguistik_bsc_stand_2025-09-24.pdf::P11::Inhalte | lmu_computerlinguistik_bsc_stand_2025-09-24.pdf::P12::Inhalte | lmu_computerlinguistik_bsc_stand_2025-09-24.pdf::WP3::Inhalte</x:v>
      </x:c>
      <x:c r="P152" s="13" t="n">
        <x:v>1</x:v>
      </x:c>
      <x:c r="Q152" s="13" t="n">
        <x:v>1</x:v>
      </x:c>
      <x:c r="R152" s="15" t="n">
        <x:v>0.3333333333333333</x:v>
      </x:c>
      <x:c r="S152" s="15" t="n">
        <x:v>1</x:v>
      </x:c>
      <x:c r="T152" s="15" t="n">
        <x:v>1</x:v>
      </x:c>
      <x:c r="U152" s="15" t="n">
        <x:v>1</x:v>
      </x:c>
      <x:c r="V152" s="15" t="n">
        <x:v>1</x:v>
      </x:c>
      <x:c r="W152" s="13" t="str">
        <x:v>vollständig</x:v>
      </x:c>
    </x:row>
    <x:row r="153">
      <x:c r="A153" s="13" t="str">
        <x:v>Mehrsprachig n=18</x:v>
      </x:c>
      <x:c r="B153" s="13" t="str">
        <x:v>Hybrid_alpha_0.25</x:v>
      </x:c>
      <x:c r="C153" s="13" t="str">
        <x:v>m06_de</x:v>
      </x:c>
      <x:c r="D153" s="13" t="str">
        <x:v>broad_topic</x:v>
      </x:c>
      <x:c r="E153" s="13" t="str">
        <x:v>Welche Module behandeln Informationssuche oder Suchmaschinen?</x:v>
      </x:c>
      <x:c r="F153" s="13" t="str">
        <x:v>module+section</x:v>
      </x:c>
      <x:c r="G153" s="13" t="str">
        <x:v>lmu_computerlinguistik_bsc_stand_2025-09-24.pdf</x:v>
      </x:c>
      <x:c r="H153" s="13" t="str">
        <x:v>WP3</x:v>
      </x:c>
      <x:c r="I153" s="13" t="str">
        <x:v>Inhalte</x:v>
      </x:c>
      <x:c r="J153" s="13" t="str">
        <x:v>lmu_computerlinguistik_bsc_stand_2025-09-24.pdf</x:v>
      </x:c>
      <x:c r="K153" s="13" t="str">
        <x:v>WP3</x:v>
      </x:c>
      <x:c r="L153" s="13" t="str">
        <x:v>Qualifikationsziele</x:v>
      </x:c>
      <x:c r="M153" s="13" t="n">
        <x:v>2</x:v>
      </x:c>
      <x:c r="N153" s="13" t="str">
        <x:v>lmu_computerlinguistik_bsc_stand_2025-09-24.pdf::WP3::Inhalte</x:v>
      </x:c>
      <x:c r="O153" s="13" t="str">
        <x:v>lmu_computerlinguistik_bsc_stand_2025-09-24.pdf::WP3::Qualifikationsziele | lmu_computerlinguistik_bsc_stand_2025-09-24.pdf::WP3::Inhalte | lmu_computerlinguistik_bsc_stand_2025-09-24.pdf::P13::Englischer Modultitel</x:v>
      </x:c>
      <x:c r="P153" s="13" t="n">
        <x:v>1</x:v>
      </x:c>
      <x:c r="Q153" s="13" t="n">
        <x:v>1</x:v>
      </x:c>
      <x:c r="R153" s="15" t="n">
        <x:v>0.3333333333333333</x:v>
      </x:c>
      <x:c r="S153" s="15" t="n">
        <x:v>1</x:v>
      </x:c>
      <x:c r="T153" s="15" t="n">
        <x:v>0.5</x:v>
      </x:c>
      <x:c r="U153" s="15" t="n">
        <x:v>0.6309297535714575</x:v>
      </x:c>
      <x:c r="V153" s="15"/>
      <x:c r="W153" s="13" t="str">
        <x:v>vollständig</x:v>
      </x:c>
    </x:row>
    <x:row r="154">
      <x:c r="A154" s="13" t="str">
        <x:v>Mehrsprachig n=18</x:v>
      </x:c>
      <x:c r="B154" s="13" t="str">
        <x:v>Hybrid_alpha_0.25</x:v>
      </x:c>
      <x:c r="C154" s="13" t="str">
        <x:v>m06_en</x:v>
      </x:c>
      <x:c r="D154" s="13" t="str">
        <x:v>broad_topic</x:v>
      </x:c>
      <x:c r="E154" s="13" t="str">
        <x:v>Which modules cover information search or search engines?</x:v>
      </x:c>
      <x:c r="F154" s="13" t="str">
        <x:v>module+section</x:v>
      </x:c>
      <x:c r="G154" s="13" t="str">
        <x:v>lmu_computerlinguistik_bsc_stand_2025-09-24.pdf</x:v>
      </x:c>
      <x:c r="H154" s="13" t="str">
        <x:v>WP3</x:v>
      </x:c>
      <x:c r="I154" s="13" t="str">
        <x:v>Inhalte</x:v>
      </x:c>
      <x:c r="J154" s="13" t="str">
        <x:v>lmu_computerlinguistik_bsc_stand_2025-09-24.pdf</x:v>
      </x:c>
      <x:c r="K154" s="13" t="str">
        <x:v>WP3</x:v>
      </x:c>
      <x:c r="L154" s="13" t="str">
        <x:v>Inhalte</x:v>
      </x:c>
      <x:c r="M154" s="13" t="n">
        <x:v>1</x:v>
      </x:c>
      <x:c r="N154" s="13" t="str">
        <x:v>lmu_computerlinguistik_bsc_stand_2025-09-24.pdf::WP3::Inhalte</x:v>
      </x:c>
      <x:c r="O154" s="13" t="str">
        <x:v>lmu_computerlinguistik_bsc_stand_2025-09-24.pdf::WP3::Inhalte | lmu_computerlinguistik_bsc_stand_2025-09-24.pdf::P12::Inhalte | lmu_computerlinguistik_bsc_stand_2025-09-24.pdf::P11::Inhalte</x:v>
      </x:c>
      <x:c r="P154" s="13" t="n">
        <x:v>1</x:v>
      </x:c>
      <x:c r="Q154" s="13" t="n">
        <x:v>1</x:v>
      </x:c>
      <x:c r="R154" s="15" t="n">
        <x:v>0.3333333333333333</x:v>
      </x:c>
      <x:c r="S154" s="15" t="n">
        <x:v>1</x:v>
      </x:c>
      <x:c r="T154" s="15" t="n">
        <x:v>1</x:v>
      </x:c>
      <x:c r="U154" s="15" t="n">
        <x:v>1</x:v>
      </x:c>
      <x:c r="V154" s="15" t="n">
        <x:v>1</x:v>
      </x:c>
      <x:c r="W154" s="13" t="str">
        <x:v>vollständig</x:v>
      </x:c>
    </x:row>
    <x:row r="155">
      <x:c r="A155" s="13" t="str">
        <x:v>Mehrsprachig n=18</x:v>
      </x:c>
      <x:c r="B155" s="13" t="str">
        <x:v>Hybrid_alpha_0.25</x:v>
      </x:c>
      <x:c r="C155" s="13" t="str">
        <x:v>m06_tr</x:v>
      </x:c>
      <x:c r="D155" s="13" t="str">
        <x:v>broad_topic</x:v>
      </x:c>
      <x:c r="E155" s="13" t="str">
        <x:v>Hangi modüller bilgi arama veya arama motorlarını ele alıyor?</x:v>
      </x:c>
      <x:c r="F155" s="13" t="str">
        <x:v>module+section</x:v>
      </x:c>
      <x:c r="G155" s="13" t="str">
        <x:v>lmu_computerlinguistik_bsc_stand_2025-09-24.pdf</x:v>
      </x:c>
      <x:c r="H155" s="13" t="str">
        <x:v>WP3</x:v>
      </x:c>
      <x:c r="I155" s="13" t="str">
        <x:v>Inhalte</x:v>
      </x:c>
      <x:c r="J155" s="13" t="str">
        <x:v>lmu_computerlinguistik_bsc_stand_2025-09-24.pdf</x:v>
      </x:c>
      <x:c r="K155" s="13" t="str">
        <x:v>WP3</x:v>
      </x:c>
      <x:c r="L155" s="13" t="str">
        <x:v>Inhalte</x:v>
      </x:c>
      <x:c r="M155" s="13" t="n">
        <x:v>1</x:v>
      </x:c>
      <x:c r="N155" s="13" t="str">
        <x:v>lmu_computerlinguistik_bsc_stand_2025-09-24.pdf::WP3::Inhalte</x:v>
      </x:c>
      <x:c r="O155" s="13" t="str">
        <x:v>lmu_computerlinguistik_bsc_stand_2025-09-24.pdf::WP3::Inhalte | lmu_computerlinguistik_bsc_stand_2025-09-24.pdf::P12::Inhalte | lmu_computerlinguistik_bsc_stand_2025-09-24.pdf::P11::Inhalte</x:v>
      </x:c>
      <x:c r="P155" s="13" t="n">
        <x:v>1</x:v>
      </x:c>
      <x:c r="Q155" s="13" t="n">
        <x:v>1</x:v>
      </x:c>
      <x:c r="R155" s="15" t="n">
        <x:v>0.3333333333333333</x:v>
      </x:c>
      <x:c r="S155" s="15" t="n">
        <x:v>1</x:v>
      </x:c>
      <x:c r="T155" s="15" t="n">
        <x:v>1</x:v>
      </x:c>
      <x:c r="U155" s="15" t="n">
        <x:v>1</x:v>
      </x:c>
      <x:c r="V155" s="15" t="n">
        <x:v>1</x:v>
      </x:c>
      <x:c r="W155" s="13" t="str">
        <x:v>vollständig</x:v>
      </x:c>
    </x:row>
    <x:row r="156">
      <x:c r="A156" s="13" t="str">
        <x:v>Mehrsprachig n=18</x:v>
      </x:c>
      <x:c r="B156" s="13" t="str">
        <x:v>Hybrid_alpha_0.50</x:v>
      </x:c>
      <x:c r="C156" s="13" t="str">
        <x:v>m01_de</x:v>
      </x:c>
      <x:c r="D156" s="13" t="str">
        <x:v>exam</x:v>
      </x:c>
      <x:c r="E156" s="13" t="str">
        <x:v>Welche Prüfungsform hat WP3 Information Retrieval?</x:v>
      </x:c>
      <x:c r="F156" s="13" t="str">
        <x:v>module+section</x:v>
      </x:c>
      <x:c r="G156" s="13" t="str">
        <x:v>lmu_computerlinguistik_bsc_stand_2025-09-24.pdf</x:v>
      </x:c>
      <x:c r="H156" s="13" t="str">
        <x:v>WP3</x:v>
      </x:c>
      <x:c r="I156" s="13" t="str">
        <x:v>Form der Modulprüfung</x:v>
      </x:c>
      <x:c r="J156" s="13" t="str">
        <x:v>lmu_computerlinguistik_bsc_stand_2025-09-24.pdf</x:v>
      </x:c>
      <x:c r="K156" s="13" t="str">
        <x:v>WP3</x:v>
      </x:c>
      <x:c r="L156" s="13" t="str">
        <x:v>Form der Modulprüfung</x:v>
      </x:c>
      <x:c r="M156" s="13" t="n">
        <x:v>1</x:v>
      </x:c>
      <x:c r="N156" s="13" t="str">
        <x:v>lmu_computerlinguistik_bsc_stand_2025-09-24.pdf::WP3::Form der Modulprüfung</x:v>
      </x:c>
      <x:c r="O156" s="13" t="str">
        <x:v>lmu_computerlinguistik_bsc_stand_2025-09-24.pdf::WP3::Form der Modulprüfung | lmu_computerlinguistik_bsc_stand_2025-09-24.pdf::WP3::Art der Bewertung | lmu_computerlinguistik_bsc_stand_2025-09-24.pdf::WP3::Englischer Modultitel</x:v>
      </x:c>
      <x:c r="P156" s="13" t="n">
        <x:v>1</x:v>
      </x:c>
      <x:c r="Q156" s="13" t="n">
        <x:v>1</x:v>
      </x:c>
      <x:c r="R156" s="15" t="n">
        <x:v>0.3333333333333333</x:v>
      </x:c>
      <x:c r="S156" s="15" t="n">
        <x:v>1</x:v>
      </x:c>
      <x:c r="T156" s="15" t="n">
        <x:v>1</x:v>
      </x:c>
      <x:c r="U156" s="15" t="n">
        <x:v>1</x:v>
      </x:c>
      <x:c r="V156" s="15" t="n">
        <x:v>1</x:v>
      </x:c>
      <x:c r="W156" s="13" t="str">
        <x:v>vollständig</x:v>
      </x:c>
    </x:row>
    <x:row r="157">
      <x:c r="A157" s="13" t="str">
        <x:v>Mehrsprachig n=18</x:v>
      </x:c>
      <x:c r="B157" s="13" t="str">
        <x:v>Hybrid_alpha_0.50</x:v>
      </x:c>
      <x:c r="C157" s="13" t="str">
        <x:v>m01_en</x:v>
      </x:c>
      <x:c r="D157" s="13" t="str">
        <x:v>exam</x:v>
      </x:c>
      <x:c r="E157" s="13" t="str">
        <x:v>What is the exam type for WP3 Information Retrieval?</x:v>
      </x:c>
      <x:c r="F157" s="13" t="str">
        <x:v>module+section</x:v>
      </x:c>
      <x:c r="G157" s="13" t="str">
        <x:v>lmu_computerlinguistik_bsc_stand_2025-09-24.pdf</x:v>
      </x:c>
      <x:c r="H157" s="13" t="str">
        <x:v>WP3</x:v>
      </x:c>
      <x:c r="I157" s="13" t="str">
        <x:v>Form der Modulprüfung</x:v>
      </x:c>
      <x:c r="J157" s="13" t="str">
        <x:v>lmu_computerlinguistik_bsc_stand_2025-09-24.pdf</x:v>
      </x:c>
      <x:c r="K157" s="13" t="str">
        <x:v>WP3</x:v>
      </x:c>
      <x:c r="L157" s="13" t="str">
        <x:v>Form der Modulprüfung</x:v>
      </x:c>
      <x:c r="M157" s="13" t="n">
        <x:v>1</x:v>
      </x:c>
      <x:c r="N157" s="13" t="str">
        <x:v>lmu_computerlinguistik_bsc_stand_2025-09-24.pdf::WP3::Form der Modulprüfung</x:v>
      </x:c>
      <x:c r="O157" s="13" t="str">
        <x:v>lmu_computerlinguistik_bsc_stand_2025-09-24.pdf::WP3::Form der Modulprüfung | lmu_computerlinguistik_bsc_stand_2025-09-24.pdf::WP3::Art der Bewertung | lmu_computerlinguistik_bsc_stand_2025-09-24.pdf::WP3::Englischer Modultitel</x:v>
      </x:c>
      <x:c r="P157" s="13" t="n">
        <x:v>1</x:v>
      </x:c>
      <x:c r="Q157" s="13" t="n">
        <x:v>1</x:v>
      </x:c>
      <x:c r="R157" s="15" t="n">
        <x:v>0.3333333333333333</x:v>
      </x:c>
      <x:c r="S157" s="15" t="n">
        <x:v>1</x:v>
      </x:c>
      <x:c r="T157" s="15" t="n">
        <x:v>1</x:v>
      </x:c>
      <x:c r="U157" s="15" t="n">
        <x:v>1</x:v>
      </x:c>
      <x:c r="V157" s="15" t="n">
        <x:v>1</x:v>
      </x:c>
      <x:c r="W157" s="13" t="str">
        <x:v>vollständig</x:v>
      </x:c>
    </x:row>
    <x:row r="158">
      <x:c r="A158" s="13" t="str">
        <x:v>Mehrsprachig n=18</x:v>
      </x:c>
      <x:c r="B158" s="13" t="str">
        <x:v>Hybrid_alpha_0.50</x:v>
      </x:c>
      <x:c r="C158" s="13" t="str">
        <x:v>m01_tr</x:v>
      </x:c>
      <x:c r="D158" s="13" t="str">
        <x:v>exam</x:v>
      </x:c>
      <x:c r="E158" s="13" t="str">
        <x:v>WP3 Information Retrieval dersinin sınav şekli nedir?</x:v>
      </x:c>
      <x:c r="F158" s="13" t="str">
        <x:v>module+section</x:v>
      </x:c>
      <x:c r="G158" s="13" t="str">
        <x:v>lmu_computerlinguistik_bsc_stand_2025-09-24.pdf</x:v>
      </x:c>
      <x:c r="H158" s="13" t="str">
        <x:v>WP3</x:v>
      </x:c>
      <x:c r="I158" s="13" t="str">
        <x:v>Form der Modulprüfung</x:v>
      </x:c>
      <x:c r="J158" s="13" t="str">
        <x:v>lmu_computerlinguistik_bsc_stand_2025-09-24.pdf</x:v>
      </x:c>
      <x:c r="K158" s="13" t="str">
        <x:v>WP3</x:v>
      </x:c>
      <x:c r="L158" s="13" t="str">
        <x:v>Form der Modulprüfung</x:v>
      </x:c>
      <x:c r="M158" s="13" t="n">
        <x:v>1</x:v>
      </x:c>
      <x:c r="N158" s="13" t="str">
        <x:v>lmu_computerlinguistik_bsc_stand_2025-09-24.pdf::WP3::Form der Modulprüfung</x:v>
      </x:c>
      <x:c r="O158" s="13" t="str">
        <x:v>lmu_computerlinguistik_bsc_stand_2025-09-24.pdf::WP3::Form der Modulprüfung | lmu_computerlinguistik_bsc_stand_2025-09-24.pdf::WP3::Qualifikationsziele | lmu_computerlinguistik_bsc_stand_2025-09-24.pdf::WP3::Inhalte</x:v>
      </x:c>
      <x:c r="P158" s="13" t="n">
        <x:v>1</x:v>
      </x:c>
      <x:c r="Q158" s="13" t="n">
        <x:v>1</x:v>
      </x:c>
      <x:c r="R158" s="15" t="n">
        <x:v>0.3333333333333333</x:v>
      </x:c>
      <x:c r="S158" s="15" t="n">
        <x:v>1</x:v>
      </x:c>
      <x:c r="T158" s="15" t="n">
        <x:v>1</x:v>
      </x:c>
      <x:c r="U158" s="15" t="n">
        <x:v>1</x:v>
      </x:c>
      <x:c r="V158" s="15" t="n">
        <x:v>1</x:v>
      </x:c>
      <x:c r="W158" s="13" t="str">
        <x:v>vollständig</x:v>
      </x:c>
    </x:row>
    <x:row r="159">
      <x:c r="A159" s="13" t="str">
        <x:v>Mehrsprachig n=18</x:v>
      </x:c>
      <x:c r="B159" s="13" t="str">
        <x:v>Hybrid_alpha_0.50</x:v>
      </x:c>
      <x:c r="C159" s="13" t="str">
        <x:v>m02_de</x:v>
      </x:c>
      <x:c r="D159" s="13" t="str">
        <x:v>numerical</x:v>
      </x:c>
      <x:c r="E159" s="13" t="str">
        <x:v>Wie viele ECTS hat WP3 Information Retrieval?</x:v>
      </x:c>
      <x:c r="F159" s="13" t="str">
        <x:v>module+section</x:v>
      </x:c>
      <x:c r="G159" s="13" t="str">
        <x:v>lmu_computerlinguistik_bsc_stand_2025-09-24.pdf</x:v>
      </x:c>
      <x:c r="H159" s="13" t="str">
        <x:v>WP3</x:v>
      </x:c>
      <x:c r="I159" s="13" t="str">
        <x:v>Zugeordnete Modulteile</x:v>
      </x:c>
      <x:c r="J159" s="13" t="str">
        <x:v>lmu_computerlinguistik_bsc_stand_2025-09-24.pdf</x:v>
      </x:c>
      <x:c r="K159" s="13" t="str">
        <x:v>WP3</x:v>
      </x:c>
      <x:c r="L159" s="13" t="str">
        <x:v>Zugeordnete Modulteile</x:v>
      </x:c>
      <x:c r="M159" s="13" t="n">
        <x:v>1</x:v>
      </x:c>
      <x:c r="N159" s="13" t="str">
        <x:v>lmu_computerlinguistik_bsc_stand_2025-09-24.pdf::WP3::Zugeordnete Modulteile</x:v>
      </x:c>
      <x:c r="O159" s="13" t="str">
        <x:v>lmu_computerlinguistik_bsc_stand_2025-09-24.pdf::WP3::Zugeordnete Modulteile | lmu_computerlinguistik_bsc_stand_2025-09-24.pdf::WP3::Voraussetzung für die Vergabe | lmu_computerlinguistik_bsc_stand_2025-09-24.pdf::WP3::Art der Bewertung</x:v>
      </x:c>
      <x:c r="P159" s="13" t="n">
        <x:v>1</x:v>
      </x:c>
      <x:c r="Q159" s="13" t="n">
        <x:v>1</x:v>
      </x:c>
      <x:c r="R159" s="15" t="n">
        <x:v>0.3333333333333333</x:v>
      </x:c>
      <x:c r="S159" s="15" t="n">
        <x:v>1</x:v>
      </x:c>
      <x:c r="T159" s="15" t="n">
        <x:v>1</x:v>
      </x:c>
      <x:c r="U159" s="15" t="n">
        <x:v>1</x:v>
      </x:c>
      <x:c r="V159" s="15" t="n">
        <x:v>1</x:v>
      </x:c>
      <x:c r="W159" s="13" t="str">
        <x:v>vollständig</x:v>
      </x:c>
    </x:row>
    <x:row r="160">
      <x:c r="A160" s="13" t="str">
        <x:v>Mehrsprachig n=18</x:v>
      </x:c>
      <x:c r="B160" s="13" t="str">
        <x:v>Hybrid_alpha_0.50</x:v>
      </x:c>
      <x:c r="C160" s="13" t="str">
        <x:v>m02_en</x:v>
      </x:c>
      <x:c r="D160" s="13" t="str">
        <x:v>numerical</x:v>
      </x:c>
      <x:c r="E160" s="13" t="str">
        <x:v>How many ECTS credits does WP3 Information Retrieval have?</x:v>
      </x:c>
      <x:c r="F160" s="13" t="str">
        <x:v>module+section</x:v>
      </x:c>
      <x:c r="G160" s="13" t="str">
        <x:v>lmu_computerlinguistik_bsc_stand_2025-09-24.pdf</x:v>
      </x:c>
      <x:c r="H160" s="13" t="str">
        <x:v>WP3</x:v>
      </x:c>
      <x:c r="I160" s="13" t="str">
        <x:v>Zugeordnete Modulteile</x:v>
      </x:c>
      <x:c r="J160" s="13" t="str">
        <x:v>lmu_computerlinguistik_bsc_stand_2025-09-24.pdf</x:v>
      </x:c>
      <x:c r="K160" s="13" t="str">
        <x:v>WP3</x:v>
      </x:c>
      <x:c r="L160" s="13" t="str">
        <x:v>Zugeordnete Modulteile</x:v>
      </x:c>
      <x:c r="M160" s="13" t="n">
        <x:v>1</x:v>
      </x:c>
      <x:c r="N160" s="13" t="str">
        <x:v>lmu_computerlinguistik_bsc_stand_2025-09-24.pdf::WP3::Zugeordnete Modulteile</x:v>
      </x:c>
      <x:c r="O160" s="13" t="str">
        <x:v>lmu_computerlinguistik_bsc_stand_2025-09-24.pdf::WP3::Zugeordnete Modulteile | lmu_computerlinguistik_bsc_stand_2025-09-24.pdf::WP3::Voraussetzung für die Vergabe | lmu_computerlinguistik_bsc_stand_2025-09-24.pdf::WP3::Zeitpunkt im Studienverlauf</x:v>
      </x:c>
      <x:c r="P160" s="13" t="n">
        <x:v>1</x:v>
      </x:c>
      <x:c r="Q160" s="13" t="n">
        <x:v>1</x:v>
      </x:c>
      <x:c r="R160" s="15" t="n">
        <x:v>0.3333333333333333</x:v>
      </x:c>
      <x:c r="S160" s="15" t="n">
        <x:v>1</x:v>
      </x:c>
      <x:c r="T160" s="15" t="n">
        <x:v>1</x:v>
      </x:c>
      <x:c r="U160" s="15" t="n">
        <x:v>1</x:v>
      </x:c>
      <x:c r="V160" s="15" t="n">
        <x:v>1</x:v>
      </x:c>
      <x:c r="W160" s="13" t="str">
        <x:v>vollständig</x:v>
      </x:c>
    </x:row>
    <x:row r="161">
      <x:c r="A161" s="13" t="str">
        <x:v>Mehrsprachig n=18</x:v>
      </x:c>
      <x:c r="B161" s="13" t="str">
        <x:v>Hybrid_alpha_0.50</x:v>
      </x:c>
      <x:c r="C161" s="13" t="str">
        <x:v>m02_tr</x:v>
      </x:c>
      <x:c r="D161" s="13" t="str">
        <x:v>numerical</x:v>
      </x:c>
      <x:c r="E161" s="13" t="str">
        <x:v>WP3 Information Retrieval kaç ECTS kredisi?</x:v>
      </x:c>
      <x:c r="F161" s="13" t="str">
        <x:v>module+section</x:v>
      </x:c>
      <x:c r="G161" s="13" t="str">
        <x:v>lmu_computerlinguistik_bsc_stand_2025-09-24.pdf</x:v>
      </x:c>
      <x:c r="H161" s="13" t="str">
        <x:v>WP3</x:v>
      </x:c>
      <x:c r="I161" s="13" t="str">
        <x:v>Zugeordnete Modulteile</x:v>
      </x:c>
      <x:c r="J161" s="13" t="str">
        <x:v>lmu_computerlinguistik_bsc_stand_2025-09-24.pdf</x:v>
      </x:c>
      <x:c r="K161" s="13" t="str">
        <x:v>WP3</x:v>
      </x:c>
      <x:c r="L161" s="13" t="str">
        <x:v>Zugeordnete Modulteile</x:v>
      </x:c>
      <x:c r="M161" s="13" t="n">
        <x:v>1</x:v>
      </x:c>
      <x:c r="N161" s="13" t="str">
        <x:v>lmu_computerlinguistik_bsc_stand_2025-09-24.pdf::WP3::Zugeordnete Modulteile</x:v>
      </x:c>
      <x:c r="O161" s="13" t="str">
        <x:v>lmu_computerlinguistik_bsc_stand_2025-09-24.pdf::WP3::Zugeordnete Modulteile | lmu_computerlinguistik_bsc_stand_2025-09-24.pdf::WP3::Voraussetzung für die Vergabe | lmu_computerlinguistik_bsc_stand_2025-09-24.pdf::WP3::Art der Bewertung</x:v>
      </x:c>
      <x:c r="P161" s="13" t="n">
        <x:v>1</x:v>
      </x:c>
      <x:c r="Q161" s="13" t="n">
        <x:v>1</x:v>
      </x:c>
      <x:c r="R161" s="15" t="n">
        <x:v>0.3333333333333333</x:v>
      </x:c>
      <x:c r="S161" s="15" t="n">
        <x:v>1</x:v>
      </x:c>
      <x:c r="T161" s="15" t="n">
        <x:v>1</x:v>
      </x:c>
      <x:c r="U161" s="15" t="n">
        <x:v>1</x:v>
      </x:c>
      <x:c r="V161" s="15" t="n">
        <x:v>1</x:v>
      </x:c>
      <x:c r="W161" s="13" t="str">
        <x:v>vollständig</x:v>
      </x:c>
    </x:row>
    <x:row r="162">
      <x:c r="A162" s="13" t="str">
        <x:v>Mehrsprachig n=18</x:v>
      </x:c>
      <x:c r="B162" s="13" t="str">
        <x:v>Hybrid_alpha_0.50</x:v>
      </x:c>
      <x:c r="C162" s="13" t="str">
        <x:v>m03_de</x:v>
      </x:c>
      <x:c r="D162" s="13" t="str">
        <x:v>responsible_person</x:v>
      </x:c>
      <x:c r="E162" s="13" t="str">
        <x:v>Wer ist modulverantwortlich für P10 Statistische Methoden in der Sprachverarbeitung?</x:v>
      </x:c>
      <x:c r="F162" s="13" t="str">
        <x:v>module+section</x:v>
      </x:c>
      <x:c r="G162" s="13" t="str">
        <x:v>lmu_computerlinguistik_bsc_stand_2025-09-24.pdf</x:v>
      </x:c>
      <x:c r="H162" s="13" t="str">
        <x:v>P10</x:v>
      </x:c>
      <x:c r="I162" s="13" t="str">
        <x:v>Modulverantwortliche/r</x:v>
      </x:c>
      <x:c r="J162" s="13" t="str">
        <x:v>lmu_computerlinguistik_bsc_stand_2025-09-24.pdf</x:v>
      </x:c>
      <x:c r="K162" s="13" t="str">
        <x:v>P10</x:v>
      </x:c>
      <x:c r="L162" s="13" t="str">
        <x:v>Modulverantwortliche/r</x:v>
      </x:c>
      <x:c r="M162" s="13" t="n">
        <x:v>1</x:v>
      </x:c>
      <x:c r="N162" s="13" t="str">
        <x:v>lmu_computerlinguistik_bsc_stand_2025-09-24.pdf::P10::Modulverantwortliche/r</x:v>
      </x:c>
      <x:c r="O162" s="13" t="str">
        <x:v>lmu_computerlinguistik_bsc_stand_2025-09-24.pdf::P10::Modulverantwortliche/r | lmu_computerlinguistik_bsc_stand_2025-09-24.pdf::P10::header | lmu_computerlinguistik_bsc_stand_2025-09-24.pdf::P10::Englischer Modultitel</x:v>
      </x:c>
      <x:c r="P162" s="13" t="n">
        <x:v>1</x:v>
      </x:c>
      <x:c r="Q162" s="13" t="n">
        <x:v>1</x:v>
      </x:c>
      <x:c r="R162" s="15" t="n">
        <x:v>0.3333333333333333</x:v>
      </x:c>
      <x:c r="S162" s="15" t="n">
        <x:v>1</x:v>
      </x:c>
      <x:c r="T162" s="15" t="n">
        <x:v>1</x:v>
      </x:c>
      <x:c r="U162" s="15" t="n">
        <x:v>1</x:v>
      </x:c>
      <x:c r="V162" s="15" t="n">
        <x:v>1</x:v>
      </x:c>
      <x:c r="W162" s="13" t="str">
        <x:v>vollständig</x:v>
      </x:c>
    </x:row>
    <x:row r="163">
      <x:c r="A163" s="13" t="str">
        <x:v>Mehrsprachig n=18</x:v>
      </x:c>
      <x:c r="B163" s="13" t="str">
        <x:v>Hybrid_alpha_0.50</x:v>
      </x:c>
      <x:c r="C163" s="13" t="str">
        <x:v>m03_en</x:v>
      </x:c>
      <x:c r="D163" s="13" t="str">
        <x:v>responsible_person</x:v>
      </x:c>
      <x:c r="E163" s="13" t="str">
        <x:v>Who is responsible for P10 Statistical Methods in Natural Language Processing?</x:v>
      </x:c>
      <x:c r="F163" s="13" t="str">
        <x:v>module+section</x:v>
      </x:c>
      <x:c r="G163" s="13" t="str">
        <x:v>lmu_computerlinguistik_bsc_stand_2025-09-24.pdf</x:v>
      </x:c>
      <x:c r="H163" s="13" t="str">
        <x:v>P10</x:v>
      </x:c>
      <x:c r="I163" s="13" t="str">
        <x:v>Modulverantwortliche/r</x:v>
      </x:c>
      <x:c r="J163" s="13" t="str">
        <x:v>lmu_computerlinguistik_bsc_stand_2025-09-24.pdf</x:v>
      </x:c>
      <x:c r="K163" s="13" t="str">
        <x:v>P10</x:v>
      </x:c>
      <x:c r="L163" s="13" t="str">
        <x:v>Unterrichtssprache</x:v>
      </x:c>
      <x:c r="M163" s="13"/>
      <x:c r="N163" s="13" t="str">
        <x:v>lmu_computerlinguistik_bsc_stand_2025-09-24.pdf::P10::Modulverantwortliche/r</x:v>
      </x:c>
      <x:c r="O163" s="13" t="str">
        <x:v>lmu_computerlinguistik_bsc_stand_2025-09-24.pdf::P10::Unterrichtssprache | lmu_computerlinguistik_bsc_stand_2025-09-24.pdf::P10::Englischer Modultitel | lmu_computerlinguistik_bsc_stand_2025-09-24.pdf::P10::header</x:v>
      </x:c>
      <x:c r="P163" s="13" t="n">
        <x:v>1</x:v>
      </x:c>
      <x:c r="Q163" s="13"/>
      <x:c r="R163" s="15"/>
      <x:c r="S163" s="15"/>
      <x:c r="T163" s="15"/>
      <x:c r="U163" s="15"/>
      <x:c r="V163" s="15"/>
      <x:c r="W163" s="13" t="str">
        <x:v>nicht gefunden</x:v>
      </x:c>
    </x:row>
    <x:row r="164">
      <x:c r="A164" s="13" t="str">
        <x:v>Mehrsprachig n=18</x:v>
      </x:c>
      <x:c r="B164" s="13" t="str">
        <x:v>Hybrid_alpha_0.50</x:v>
      </x:c>
      <x:c r="C164" s="13" t="str">
        <x:v>m03_tr</x:v>
      </x:c>
      <x:c r="D164" s="13" t="str">
        <x:v>responsible_person</x:v>
      </x:c>
      <x:c r="E164" s="13" t="str">
        <x:v>P10 Statistische Methoden in der Sprachverarbeitung modülünden kim sorumludur?</x:v>
      </x:c>
      <x:c r="F164" s="13" t="str">
        <x:v>module+section</x:v>
      </x:c>
      <x:c r="G164" s="13" t="str">
        <x:v>lmu_computerlinguistik_bsc_stand_2025-09-24.pdf</x:v>
      </x:c>
      <x:c r="H164" s="13" t="str">
        <x:v>P10</x:v>
      </x:c>
      <x:c r="I164" s="13" t="str">
        <x:v>Modulverantwortliche/r</x:v>
      </x:c>
      <x:c r="J164" s="13" t="str">
        <x:v>lmu_computerlinguistik_bsc_stand_2025-09-24.pdf</x:v>
      </x:c>
      <x:c r="K164" s="13" t="str">
        <x:v>P10</x:v>
      </x:c>
      <x:c r="L164" s="13" t="str">
        <x:v>Modulverantwortliche/r</x:v>
      </x:c>
      <x:c r="M164" s="13" t="n">
        <x:v>1</x:v>
      </x:c>
      <x:c r="N164" s="13" t="str">
        <x:v>lmu_computerlinguistik_bsc_stand_2025-09-24.pdf::P10::Modulverantwortliche/r</x:v>
      </x:c>
      <x:c r="O164" s="13" t="str">
        <x:v>lmu_computerlinguistik_bsc_stand_2025-09-24.pdf::P10::Modulverantwortliche/r | lmu_computerlinguistik_bsc_stand_2025-09-24.pdf::P10::header | lmu_computerlinguistik_bsc_stand_2025-09-24.pdf::P10::Inhalte</x:v>
      </x:c>
      <x:c r="P164" s="13" t="n">
        <x:v>1</x:v>
      </x:c>
      <x:c r="Q164" s="13" t="n">
        <x:v>1</x:v>
      </x:c>
      <x:c r="R164" s="15" t="n">
        <x:v>0.3333333333333333</x:v>
      </x:c>
      <x:c r="S164" s="15" t="n">
        <x:v>1</x:v>
      </x:c>
      <x:c r="T164" s="15" t="n">
        <x:v>1</x:v>
      </x:c>
      <x:c r="U164" s="15" t="n">
        <x:v>1</x:v>
      </x:c>
      <x:c r="V164" s="15" t="n">
        <x:v>1</x:v>
      </x:c>
      <x:c r="W164" s="13" t="str">
        <x:v>vollständig</x:v>
      </x:c>
    </x:row>
    <x:row r="165">
      <x:c r="A165" s="13" t="str">
        <x:v>Mehrsprachig n=18</x:v>
      </x:c>
      <x:c r="B165" s="13" t="str">
        <x:v>Hybrid_alpha_0.50</x:v>
      </x:c>
      <x:c r="C165" s="13" t="str">
        <x:v>m04_de</x:v>
      </x:c>
      <x:c r="D165" s="13" t="str">
        <x:v>semester</x:v>
      </x:c>
      <x:c r="E165" s="13" t="str">
        <x:v>In welchem Semester wird P8 empfohlen?</x:v>
      </x:c>
      <x:c r="F165" s="13" t="str">
        <x:v>module+section</x:v>
      </x:c>
      <x:c r="G165" s="13" t="str">
        <x:v>lmu_computerlinguistik_bsc_stand_2025-09-24.pdf</x:v>
      </x:c>
      <x:c r="H165" s="13" t="str">
        <x:v>P8</x:v>
      </x:c>
      <x:c r="I165" s="13" t="str">
        <x:v>Zeitpunkt im Studienverlauf</x:v>
      </x:c>
      <x:c r="J165" s="13" t="str">
        <x:v>lmu_computerlinguistik_bsc_stand_2025-09-24.pdf</x:v>
      </x:c>
      <x:c r="K165" s="13" t="str">
        <x:v>P8</x:v>
      </x:c>
      <x:c r="L165" s="13" t="str">
        <x:v>Zeitpunkt im Studienverlauf</x:v>
      </x:c>
      <x:c r="M165" s="13" t="n">
        <x:v>1</x:v>
      </x:c>
      <x:c r="N165" s="13" t="str">
        <x:v>lmu_computerlinguistik_bsc_stand_2025-09-24.pdf::P8::Zeitpunkt im Studienverlauf</x:v>
      </x:c>
      <x:c r="O165" s="13" t="str">
        <x:v>lmu_computerlinguistik_bsc_stand_2025-09-24.pdf::P8::Zeitpunkt im Studienverlauf | lmu_computerlinguistik_bsc_stand_2025-09-24.pdf::P7::Zeitpunkt im Studienverlauf | lmu_computerlinguistik_bsc_stand_2025-09-24.pdf::P11::Zeitpunkt im Studienverlauf</x:v>
      </x:c>
      <x:c r="P165" s="13" t="n">
        <x:v>1</x:v>
      </x:c>
      <x:c r="Q165" s="13" t="n">
        <x:v>1</x:v>
      </x:c>
      <x:c r="R165" s="15" t="n">
        <x:v>0.3333333333333333</x:v>
      </x:c>
      <x:c r="S165" s="15" t="n">
        <x:v>1</x:v>
      </x:c>
      <x:c r="T165" s="15" t="n">
        <x:v>1</x:v>
      </x:c>
      <x:c r="U165" s="15" t="n">
        <x:v>1</x:v>
      </x:c>
      <x:c r="V165" s="15" t="n">
        <x:v>1</x:v>
      </x:c>
      <x:c r="W165" s="13" t="str">
        <x:v>vollständig</x:v>
      </x:c>
    </x:row>
    <x:row r="166">
      <x:c r="A166" s="13" t="str">
        <x:v>Mehrsprachig n=18</x:v>
      </x:c>
      <x:c r="B166" s="13" t="str">
        <x:v>Hybrid_alpha_0.50</x:v>
      </x:c>
      <x:c r="C166" s="13" t="str">
        <x:v>m04_en</x:v>
      </x:c>
      <x:c r="D166" s="13" t="str">
        <x:v>semester</x:v>
      </x:c>
      <x:c r="E166" s="13" t="str">
        <x:v>In which semester is P8 recommended?</x:v>
      </x:c>
      <x:c r="F166" s="13" t="str">
        <x:v>module+section</x:v>
      </x:c>
      <x:c r="G166" s="13" t="str">
        <x:v>lmu_computerlinguistik_bsc_stand_2025-09-24.pdf</x:v>
      </x:c>
      <x:c r="H166" s="13" t="str">
        <x:v>P8</x:v>
      </x:c>
      <x:c r="I166" s="13" t="str">
        <x:v>Zeitpunkt im Studienverlauf</x:v>
      </x:c>
      <x:c r="J166" s="13" t="str">
        <x:v>lmu_computerlinguistik_bsc_stand_2025-09-24.pdf</x:v>
      </x:c>
      <x:c r="K166" s="13" t="str">
        <x:v>P8</x:v>
      </x:c>
      <x:c r="L166" s="13" t="str">
        <x:v>Zeitpunkt im Studienverlauf</x:v>
      </x:c>
      <x:c r="M166" s="13" t="n">
        <x:v>1</x:v>
      </x:c>
      <x:c r="N166" s="13" t="str">
        <x:v>lmu_computerlinguistik_bsc_stand_2025-09-24.pdf::P8::Zeitpunkt im Studienverlauf</x:v>
      </x:c>
      <x:c r="O166" s="13" t="str">
        <x:v>lmu_computerlinguistik_bsc_stand_2025-09-24.pdf::P8::Zeitpunkt im Studienverlauf | lmu_computerlinguistik_bsc_stand_2025-09-24.pdf::P7::Zeitpunkt im Studienverlauf | lmu_computerlinguistik_bsc_stand_2025-09-24.pdf::P9::Zeitpunkt im Studienverlauf</x:v>
      </x:c>
      <x:c r="P166" s="13" t="n">
        <x:v>1</x:v>
      </x:c>
      <x:c r="Q166" s="13" t="n">
        <x:v>1</x:v>
      </x:c>
      <x:c r="R166" s="15" t="n">
        <x:v>0.3333333333333333</x:v>
      </x:c>
      <x:c r="S166" s="15" t="n">
        <x:v>1</x:v>
      </x:c>
      <x:c r="T166" s="15" t="n">
        <x:v>1</x:v>
      </x:c>
      <x:c r="U166" s="15" t="n">
        <x:v>1</x:v>
      </x:c>
      <x:c r="V166" s="15" t="n">
        <x:v>1</x:v>
      </x:c>
      <x:c r="W166" s="13" t="str">
        <x:v>vollständig</x:v>
      </x:c>
    </x:row>
    <x:row r="167">
      <x:c r="A167" s="13" t="str">
        <x:v>Mehrsprachig n=18</x:v>
      </x:c>
      <x:c r="B167" s="13" t="str">
        <x:v>Hybrid_alpha_0.50</x:v>
      </x:c>
      <x:c r="C167" s="13" t="str">
        <x:v>m04_tr</x:v>
      </x:c>
      <x:c r="D167" s="13" t="str">
        <x:v>semester</x:v>
      </x:c>
      <x:c r="E167" s="13" t="str">
        <x:v>P8 hangi dönemde öneriliyor?</x:v>
      </x:c>
      <x:c r="F167" s="13" t="str">
        <x:v>module+section</x:v>
      </x:c>
      <x:c r="G167" s="13" t="str">
        <x:v>lmu_computerlinguistik_bsc_stand_2025-09-24.pdf</x:v>
      </x:c>
      <x:c r="H167" s="13" t="str">
        <x:v>P8</x:v>
      </x:c>
      <x:c r="I167" s="13" t="str">
        <x:v>Zeitpunkt im Studienverlauf</x:v>
      </x:c>
      <x:c r="J167" s="13" t="str">
        <x:v>lmu_computerlinguistik_bsc_stand_2025-09-24.pdf</x:v>
      </x:c>
      <x:c r="K167" s="13" t="str">
        <x:v>P8</x:v>
      </x:c>
      <x:c r="L167" s="13" t="str">
        <x:v>Zeitpunkt im Studienverlauf</x:v>
      </x:c>
      <x:c r="M167" s="13" t="n">
        <x:v>1</x:v>
      </x:c>
      <x:c r="N167" s="13" t="str">
        <x:v>lmu_computerlinguistik_bsc_stand_2025-09-24.pdf::P8::Zeitpunkt im Studienverlauf</x:v>
      </x:c>
      <x:c r="O167" s="13" t="str">
        <x:v>lmu_computerlinguistik_bsc_stand_2025-09-24.pdf::P8::Zeitpunkt im Studienverlauf | lmu_computerlinguistik_bsc_stand_2025-09-24.pdf::P9::Zeitpunkt im Studienverlauf | lmu_computerlinguistik_bsc_stand_2025-09-24.pdf::P11::Zeitpunkt im Studienverlauf</x:v>
      </x:c>
      <x:c r="P167" s="13" t="n">
        <x:v>1</x:v>
      </x:c>
      <x:c r="Q167" s="13" t="n">
        <x:v>1</x:v>
      </x:c>
      <x:c r="R167" s="15" t="n">
        <x:v>0.3333333333333333</x:v>
      </x:c>
      <x:c r="S167" s="15" t="n">
        <x:v>1</x:v>
      </x:c>
      <x:c r="T167" s="15" t="n">
        <x:v>1</x:v>
      </x:c>
      <x:c r="U167" s="15" t="n">
        <x:v>1</x:v>
      </x:c>
      <x:c r="V167" s="15" t="n">
        <x:v>1</x:v>
      </x:c>
      <x:c r="W167" s="13" t="str">
        <x:v>vollständig</x:v>
      </x:c>
    </x:row>
    <x:row r="168">
      <x:c r="A168" s="13" t="str">
        <x:v>Mehrsprachig n=18</x:v>
      </x:c>
      <x:c r="B168" s="13" t="str">
        <x:v>Hybrid_alpha_0.50</x:v>
      </x:c>
      <x:c r="C168" s="13" t="str">
        <x:v>m05_de</x:v>
      </x:c>
      <x:c r="D168" s="13" t="str">
        <x:v>content</x:v>
      </x:c>
      <x:c r="E168" s="13" t="str">
        <x:v>Welche Inhalte behandelt P11 Informationsextraktion?</x:v>
      </x:c>
      <x:c r="F168" s="13" t="str">
        <x:v>module+section</x:v>
      </x:c>
      <x:c r="G168" s="13" t="str">
        <x:v>lmu_computerlinguistik_bsc_stand_2025-09-24.pdf</x:v>
      </x:c>
      <x:c r="H168" s="13" t="str">
        <x:v>P11</x:v>
      </x:c>
      <x:c r="I168" s="13" t="str">
        <x:v>Inhalte</x:v>
      </x:c>
      <x:c r="J168" s="13" t="str">
        <x:v>lmu_computerlinguistik_bsc_stand_2025-09-24.pdf</x:v>
      </x:c>
      <x:c r="K168" s="13" t="str">
        <x:v>P11</x:v>
      </x:c>
      <x:c r="L168" s="13" t="str">
        <x:v>Inhalte</x:v>
      </x:c>
      <x:c r="M168" s="13" t="n">
        <x:v>1</x:v>
      </x:c>
      <x:c r="N168" s="13" t="str">
        <x:v>lmu_computerlinguistik_bsc_stand_2025-09-24.pdf::P11::Inhalte</x:v>
      </x:c>
      <x:c r="O168" s="13" t="str">
        <x:v>lmu_computerlinguistik_bsc_stand_2025-09-24.pdf::P11::Inhalte | lmu_computerlinguistik_bsc_stand_2025-09-24.pdf::P11::Englischer Modultitel | lmu_computerlinguistik_bsc_stand_2025-09-24.pdf::P12::Inhalte</x:v>
      </x:c>
      <x:c r="P168" s="13" t="n">
        <x:v>1</x:v>
      </x:c>
      <x:c r="Q168" s="13" t="n">
        <x:v>1</x:v>
      </x:c>
      <x:c r="R168" s="15" t="n">
        <x:v>0.3333333333333333</x:v>
      </x:c>
      <x:c r="S168" s="15" t="n">
        <x:v>1</x:v>
      </x:c>
      <x:c r="T168" s="15" t="n">
        <x:v>1</x:v>
      </x:c>
      <x:c r="U168" s="15" t="n">
        <x:v>1</x:v>
      </x:c>
      <x:c r="V168" s="15" t="n">
        <x:v>1</x:v>
      </x:c>
      <x:c r="W168" s="13" t="str">
        <x:v>vollständig</x:v>
      </x:c>
    </x:row>
    <x:row r="169">
      <x:c r="A169" s="13" t="str">
        <x:v>Mehrsprachig n=18</x:v>
      </x:c>
      <x:c r="B169" s="13" t="str">
        <x:v>Hybrid_alpha_0.50</x:v>
      </x:c>
      <x:c r="C169" s="13" t="str">
        <x:v>m05_en</x:v>
      </x:c>
      <x:c r="D169" s="13" t="str">
        <x:v>content</x:v>
      </x:c>
      <x:c r="E169" s="13" t="str">
        <x:v>What topics are covered in P11 Information Extraction?</x:v>
      </x:c>
      <x:c r="F169" s="13" t="str">
        <x:v>module+section</x:v>
      </x:c>
      <x:c r="G169" s="13" t="str">
        <x:v>lmu_computerlinguistik_bsc_stand_2025-09-24.pdf</x:v>
      </x:c>
      <x:c r="H169" s="13" t="str">
        <x:v>P11</x:v>
      </x:c>
      <x:c r="I169" s="13" t="str">
        <x:v>Inhalte</x:v>
      </x:c>
      <x:c r="J169" s="13" t="str">
        <x:v>lmu_computerlinguistik_bsc_stand_2025-09-24.pdf</x:v>
      </x:c>
      <x:c r="K169" s="13" t="str">
        <x:v>P11</x:v>
      </x:c>
      <x:c r="L169" s="13" t="str">
        <x:v>Englischer Modultitel</x:v>
      </x:c>
      <x:c r="M169" s="13" t="n">
        <x:v>2</x:v>
      </x:c>
      <x:c r="N169" s="13" t="str">
        <x:v>lmu_computerlinguistik_bsc_stand_2025-09-24.pdf::P11::Inhalte</x:v>
      </x:c>
      <x:c r="O169" s="13" t="str">
        <x:v>lmu_computerlinguistik_bsc_stand_2025-09-24.pdf::P11::Englischer Modultitel | lmu_computerlinguistik_bsc_stand_2025-09-24.pdf::P11::Inhalte | lmu_computerlinguistik_bsc_stand_2025-09-24.pdf::WP3::Inhalte</x:v>
      </x:c>
      <x:c r="P169" s="13" t="n">
        <x:v>1</x:v>
      </x:c>
      <x:c r="Q169" s="13" t="n">
        <x:v>1</x:v>
      </x:c>
      <x:c r="R169" s="15" t="n">
        <x:v>0.3333333333333333</x:v>
      </x:c>
      <x:c r="S169" s="15" t="n">
        <x:v>1</x:v>
      </x:c>
      <x:c r="T169" s="15" t="n">
        <x:v>0.5</x:v>
      </x:c>
      <x:c r="U169" s="15" t="n">
        <x:v>0.6309297535714575</x:v>
      </x:c>
      <x:c r="V169" s="15"/>
      <x:c r="W169" s="13" t="str">
        <x:v>vollständig</x:v>
      </x:c>
    </x:row>
    <x:row r="170">
      <x:c r="A170" s="13" t="str">
        <x:v>Mehrsprachig n=18</x:v>
      </x:c>
      <x:c r="B170" s="13" t="str">
        <x:v>Hybrid_alpha_0.50</x:v>
      </x:c>
      <x:c r="C170" s="13" t="str">
        <x:v>m05_tr</x:v>
      </x:c>
      <x:c r="D170" s="13" t="str">
        <x:v>content</x:v>
      </x:c>
      <x:c r="E170" s="13" t="str">
        <x:v>P11 Informationsextraktion hangi konuları içeriyor?</x:v>
      </x:c>
      <x:c r="F170" s="13" t="str">
        <x:v>module+section</x:v>
      </x:c>
      <x:c r="G170" s="13" t="str">
        <x:v>lmu_computerlinguistik_bsc_stand_2025-09-24.pdf</x:v>
      </x:c>
      <x:c r="H170" s="13" t="str">
        <x:v>P11</x:v>
      </x:c>
      <x:c r="I170" s="13" t="str">
        <x:v>Inhalte</x:v>
      </x:c>
      <x:c r="J170" s="13" t="str">
        <x:v>lmu_computerlinguistik_bsc_stand_2025-09-24.pdf</x:v>
      </x:c>
      <x:c r="K170" s="13" t="str">
        <x:v>P11</x:v>
      </x:c>
      <x:c r="L170" s="13" t="str">
        <x:v>Inhalte</x:v>
      </x:c>
      <x:c r="M170" s="13" t="n">
        <x:v>1</x:v>
      </x:c>
      <x:c r="N170" s="13" t="str">
        <x:v>lmu_computerlinguistik_bsc_stand_2025-09-24.pdf::P11::Inhalte</x:v>
      </x:c>
      <x:c r="O170" s="13" t="str">
        <x:v>lmu_computerlinguistik_bsc_stand_2025-09-24.pdf::P11::Inhalte | lmu_computerlinguistik_bsc_stand_2025-09-24.pdf::P11::header | lmu_computerlinguistik_bsc_stand_2025-09-24.pdf::P11::Englischer Modultitel</x:v>
      </x:c>
      <x:c r="P170" s="13" t="n">
        <x:v>1</x:v>
      </x:c>
      <x:c r="Q170" s="13" t="n">
        <x:v>1</x:v>
      </x:c>
      <x:c r="R170" s="15" t="n">
        <x:v>0.3333333333333333</x:v>
      </x:c>
      <x:c r="S170" s="15" t="n">
        <x:v>1</x:v>
      </x:c>
      <x:c r="T170" s="15" t="n">
        <x:v>1</x:v>
      </x:c>
      <x:c r="U170" s="15" t="n">
        <x:v>1</x:v>
      </x:c>
      <x:c r="V170" s="15" t="n">
        <x:v>1</x:v>
      </x:c>
      <x:c r="W170" s="13" t="str">
        <x:v>vollständig</x:v>
      </x:c>
    </x:row>
    <x:row r="171">
      <x:c r="A171" s="13" t="str">
        <x:v>Mehrsprachig n=18</x:v>
      </x:c>
      <x:c r="B171" s="13" t="str">
        <x:v>Hybrid_alpha_0.50</x:v>
      </x:c>
      <x:c r="C171" s="13" t="str">
        <x:v>m06_de</x:v>
      </x:c>
      <x:c r="D171" s="13" t="str">
        <x:v>broad_topic</x:v>
      </x:c>
      <x:c r="E171" s="13" t="str">
        <x:v>Welche Module behandeln Informationssuche oder Suchmaschinen?</x:v>
      </x:c>
      <x:c r="F171" s="13" t="str">
        <x:v>module+section</x:v>
      </x:c>
      <x:c r="G171" s="13" t="str">
        <x:v>lmu_computerlinguistik_bsc_stand_2025-09-24.pdf</x:v>
      </x:c>
      <x:c r="H171" s="13" t="str">
        <x:v>WP3</x:v>
      </x:c>
      <x:c r="I171" s="13" t="str">
        <x:v>Inhalte</x:v>
      </x:c>
      <x:c r="J171" s="13" t="str">
        <x:v>lmu_computerlinguistik_bsc_stand_2025-09-24.pdf</x:v>
      </x:c>
      <x:c r="K171" s="13" t="str">
        <x:v>WP3</x:v>
      </x:c>
      <x:c r="L171" s="13" t="str">
        <x:v>Qualifikationsziele</x:v>
      </x:c>
      <x:c r="M171" s="13" t="n">
        <x:v>2</x:v>
      </x:c>
      <x:c r="N171" s="13" t="str">
        <x:v>lmu_computerlinguistik_bsc_stand_2025-09-24.pdf::WP3::Inhalte</x:v>
      </x:c>
      <x:c r="O171" s="13" t="str">
        <x:v>lmu_computerlinguistik_bsc_stand_2025-09-24.pdf::WP3::Qualifikationsziele | lmu_computerlinguistik_bsc_stand_2025-09-24.pdf::WP3::Inhalte | lmu_computerlinguistik_bsc_stand_2025-09-24.pdf::P13::Englischer Modultitel</x:v>
      </x:c>
      <x:c r="P171" s="13" t="n">
        <x:v>1</x:v>
      </x:c>
      <x:c r="Q171" s="13" t="n">
        <x:v>1</x:v>
      </x:c>
      <x:c r="R171" s="15" t="n">
        <x:v>0.3333333333333333</x:v>
      </x:c>
      <x:c r="S171" s="15" t="n">
        <x:v>1</x:v>
      </x:c>
      <x:c r="T171" s="15" t="n">
        <x:v>0.5</x:v>
      </x:c>
      <x:c r="U171" s="15" t="n">
        <x:v>0.6309297535714575</x:v>
      </x:c>
      <x:c r="V171" s="15"/>
      <x:c r="W171" s="13" t="str">
        <x:v>vollständig</x:v>
      </x:c>
    </x:row>
    <x:row r="172">
      <x:c r="A172" s="13" t="str">
        <x:v>Mehrsprachig n=18</x:v>
      </x:c>
      <x:c r="B172" s="13" t="str">
        <x:v>Hybrid_alpha_0.50</x:v>
      </x:c>
      <x:c r="C172" s="13" t="str">
        <x:v>m06_en</x:v>
      </x:c>
      <x:c r="D172" s="13" t="str">
        <x:v>broad_topic</x:v>
      </x:c>
      <x:c r="E172" s="13" t="str">
        <x:v>Which modules cover information search or search engines?</x:v>
      </x:c>
      <x:c r="F172" s="13" t="str">
        <x:v>module+section</x:v>
      </x:c>
      <x:c r="G172" s="13" t="str">
        <x:v>lmu_computerlinguistik_bsc_stand_2025-09-24.pdf</x:v>
      </x:c>
      <x:c r="H172" s="13" t="str">
        <x:v>WP3</x:v>
      </x:c>
      <x:c r="I172" s="13" t="str">
        <x:v>Inhalte</x:v>
      </x:c>
      <x:c r="J172" s="13" t="str">
        <x:v>lmu_computerlinguistik_bsc_stand_2025-09-24.pdf</x:v>
      </x:c>
      <x:c r="K172" s="13" t="str">
        <x:v>WP3</x:v>
      </x:c>
      <x:c r="L172" s="13" t="str">
        <x:v>Inhalte</x:v>
      </x:c>
      <x:c r="M172" s="13" t="n">
        <x:v>1</x:v>
      </x:c>
      <x:c r="N172" s="13" t="str">
        <x:v>lmu_computerlinguistik_bsc_stand_2025-09-24.pdf::WP3::Inhalte</x:v>
      </x:c>
      <x:c r="O172" s="13" t="str">
        <x:v>lmu_computerlinguistik_bsc_stand_2025-09-24.pdf::WP3::Inhalte | lmu_computerlinguistik_bsc_stand_2025-09-24.pdf::P11::Inhalte | lmu_computerlinguistik_bsc_stand_2025-09-24.pdf::WP3::Qualifikationsziele</x:v>
      </x:c>
      <x:c r="P172" s="13" t="n">
        <x:v>1</x:v>
      </x:c>
      <x:c r="Q172" s="13" t="n">
        <x:v>1</x:v>
      </x:c>
      <x:c r="R172" s="15" t="n">
        <x:v>0.3333333333333333</x:v>
      </x:c>
      <x:c r="S172" s="15" t="n">
        <x:v>1</x:v>
      </x:c>
      <x:c r="T172" s="15" t="n">
        <x:v>1</x:v>
      </x:c>
      <x:c r="U172" s="15" t="n">
        <x:v>1</x:v>
      </x:c>
      <x:c r="V172" s="15" t="n">
        <x:v>1</x:v>
      </x:c>
      <x:c r="W172" s="13" t="str">
        <x:v>vollständig</x:v>
      </x:c>
    </x:row>
    <x:row r="173">
      <x:c r="A173" s="13" t="str">
        <x:v>Mehrsprachig n=18</x:v>
      </x:c>
      <x:c r="B173" s="13" t="str">
        <x:v>Hybrid_alpha_0.50</x:v>
      </x:c>
      <x:c r="C173" s="13" t="str">
        <x:v>m06_tr</x:v>
      </x:c>
      <x:c r="D173" s="13" t="str">
        <x:v>broad_topic</x:v>
      </x:c>
      <x:c r="E173" s="13" t="str">
        <x:v>Hangi modüller bilgi arama veya arama motorlarını ele alıyor?</x:v>
      </x:c>
      <x:c r="F173" s="13" t="str">
        <x:v>module+section</x:v>
      </x:c>
      <x:c r="G173" s="13" t="str">
        <x:v>lmu_computerlinguistik_bsc_stand_2025-09-24.pdf</x:v>
      </x:c>
      <x:c r="H173" s="13" t="str">
        <x:v>WP3</x:v>
      </x:c>
      <x:c r="I173" s="13" t="str">
        <x:v>Inhalte</x:v>
      </x:c>
      <x:c r="J173" s="13" t="str">
        <x:v>lmu_computerlinguistik_bsc_stand_2025-09-24.pdf</x:v>
      </x:c>
      <x:c r="K173" s="13" t="str">
        <x:v>WP3</x:v>
      </x:c>
      <x:c r="L173" s="13" t="str">
        <x:v>Inhalte</x:v>
      </x:c>
      <x:c r="M173" s="13" t="n">
        <x:v>1</x:v>
      </x:c>
      <x:c r="N173" s="13" t="str">
        <x:v>lmu_computerlinguistik_bsc_stand_2025-09-24.pdf::WP3::Inhalte</x:v>
      </x:c>
      <x:c r="O173" s="13" t="str">
        <x:v>lmu_computerlinguistik_bsc_stand_2025-09-24.pdf::WP3::Inhalte | lmu_computerlinguistik_bsc_stand_2025-09-24.pdf::P11::Inhalte | lmu_computerlinguistik_bsc_stand_2025-09-24.pdf::WP4::Inhalte</x:v>
      </x:c>
      <x:c r="P173" s="13" t="n">
        <x:v>1</x:v>
      </x:c>
      <x:c r="Q173" s="13" t="n">
        <x:v>1</x:v>
      </x:c>
      <x:c r="R173" s="15" t="n">
        <x:v>0.3333333333333333</x:v>
      </x:c>
      <x:c r="S173" s="15" t="n">
        <x:v>1</x:v>
      </x:c>
      <x:c r="T173" s="15" t="n">
        <x:v>1</x:v>
      </x:c>
      <x:c r="U173" s="15" t="n">
        <x:v>1</x:v>
      </x:c>
      <x:c r="V173" s="15" t="n">
        <x:v>1</x:v>
      </x:c>
      <x:c r="W173" s="13" t="str">
        <x:v>vollständig</x:v>
      </x:c>
    </x:row>
  </x:sheetData>
  <x:pageMargins left="0.7" right="0.7" top="0.75" bottom="0.75" header="0.3" footer="0.3"/>
  <x:tableParts count="1">
    <x:tablePart xmlns:r="http://schemas.openxmlformats.org/officeDocument/2006/relationships" r:id="R0aeae12cffc74b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7.5" hidden="0" customWidth="1"/>
    <x:col min="4" max="4" width="5.880000114440918" hidden="0" customWidth="1"/>
    <x:col min="5" max="5" width="14.5" hidden="0" customWidth="1"/>
  </x:cols>
  <x:sheetData>
    <x:row r="1" ht="15" hidden="0" customHeight="1">
      <x:c r="A1" s="6" t="str">
        <x:v>corpus</x:v>
      </x:c>
      <x:c r="B1" s="6" t="str">
        <x:v>documents</x:v>
      </x:c>
      <x:c r="C1" s="6" t="str">
        <x:v>chunking</x:v>
      </x:c>
      <x:c r="D1" s="6" t="str">
        <x:v>chunks</x:v>
      </x:c>
      <x:c r="E1" s="6" t="str">
        <x:v>unique_chunk_ids</x:v>
      </x:c>
    </x:row>
    <x:row r="2" ht="15" hidden="0" customHeight="1">
      <x:c r="A2" s="13" t="str">
        <x:v>official_cl_bsc</x:v>
      </x:c>
      <x:c r="B2" s="13" t="n">
        <x:v>1</x:v>
      </x:c>
      <x:c r="C2" s="13" t="str">
        <x:v>naive</x:v>
      </x:c>
      <x:c r="D2" s="13" t="n">
        <x:v>62</x:v>
      </x:c>
      <x:c r="E2" s="13" t="n">
        <x:v>62</x:v>
      </x:c>
    </x:row>
    <x:row r="3" ht="15" hidden="0" customHeight="1">
      <x:c r="A3" s="13" t="str">
        <x:v>official_cl_bsc</x:v>
      </x:c>
      <x:c r="B3" s="13" t="n">
        <x:v>1</x:v>
      </x:c>
      <x:c r="C3" s="13" t="str">
        <x:v>module</x:v>
      </x:c>
      <x:c r="D3" s="13" t="n">
        <x:v>17</x:v>
      </x:c>
      <x:c r="E3" s="13" t="n">
        <x:v>17</x:v>
      </x:c>
    </x:row>
    <x:row r="4" ht="15" hidden="0" customHeight="1">
      <x:c r="A4" s="13" t="str">
        <x:v>official_cl_bsc</x:v>
      </x:c>
      <x:c r="B4" s="13" t="n">
        <x:v>1</x:v>
      </x:c>
      <x:c r="C4" s="13" t="str">
        <x:v>field</x:v>
      </x:c>
      <x:c r="D4" s="13" t="n">
        <x:v>307</x:v>
      </x:c>
      <x:c r="E4" s="13" t="n">
        <x:v>307</x:v>
      </x:c>
    </x:row>
    <x:row r="5" ht="15" hidden="0" customHeight="1">
      <x:c r="A5" s="13" t="str">
        <x:v>curated_main</x:v>
      </x:c>
      <x:c r="B5" s="13" t="n">
        <x:v>4</x:v>
      </x:c>
      <x:c r="C5" s="13" t="str">
        <x:v>naive</x:v>
      </x:c>
      <x:c r="D5" s="13" t="n">
        <x:v>578</x:v>
      </x:c>
      <x:c r="E5" s="13" t="n">
        <x:v>578</x:v>
      </x:c>
    </x:row>
    <x:row r="6" ht="15" hidden="0" customHeight="1">
      <x:c r="A6" s="13" t="str">
        <x:v>curated_main</x:v>
      </x:c>
      <x:c r="B6" s="13" t="n">
        <x:v>4</x:v>
      </x:c>
      <x:c r="C6" s="13" t="str">
        <x:v>module</x:v>
      </x:c>
      <x:c r="D6" s="13" t="n">
        <x:v>146</x:v>
      </x:c>
      <x:c r="E6" s="13" t="n">
        <x:v>146</x:v>
      </x:c>
    </x:row>
    <x:row r="7" ht="15" hidden="0" customHeight="1">
      <x:c r="A7" s="13" t="str">
        <x:v>curated_main</x:v>
      </x:c>
      <x:c r="B7" s="13" t="n">
        <x:v>4</x:v>
      </x:c>
      <x:c r="C7" s="13" t="str">
        <x:v>field</x:v>
      </x:c>
      <x:c r="D7" s="13" t="n">
        <x:v>1990</x:v>
      </x:c>
      <x:c r="E7" s="13" t="n">
        <x:v>1990</x:v>
      </x:c>
    </x:row>
    <x:row r="8" ht="15" hidden="0" customHeight="1">
      <x:c r="A8" s="13" t="str">
        <x:v>stress_all_variants</x:v>
      </x:c>
      <x:c r="B8" s="13" t="n">
        <x:v>7</x:v>
      </x:c>
      <x:c r="C8" s="13" t="str">
        <x:v>naive</x:v>
      </x:c>
      <x:c r="D8" s="13" t="n">
        <x:v>937</x:v>
      </x:c>
      <x:c r="E8" s="13" t="n">
        <x:v>937</x:v>
      </x:c>
    </x:row>
    <x:row r="9" ht="15" hidden="0" customHeight="1">
      <x:c r="A9" s="13" t="str">
        <x:v>stress_all_variants</x:v>
      </x:c>
      <x:c r="B9" s="13" t="n">
        <x:v>7</x:v>
      </x:c>
      <x:c r="C9" s="13" t="str">
        <x:v>module</x:v>
      </x:c>
      <x:c r="D9" s="13" t="n">
        <x:v>239</x:v>
      </x:c>
      <x:c r="E9" s="13" t="n">
        <x:v>239</x:v>
      </x:c>
    </x:row>
    <x:row r="10" ht="15" hidden="0" customHeight="1">
      <x:c r="A10" s="13" t="str">
        <x:v>stress_all_variants</x:v>
      </x:c>
      <x:c r="B10" s="13" t="n">
        <x:v>7</x:v>
      </x:c>
      <x:c r="C10" s="13" t="str">
        <x:v>field</x:v>
      </x:c>
      <x:c r="D10" s="13" t="n">
        <x:v>3391</x:v>
      </x:c>
      <x:c r="E10" s="13" t="n">
        <x:v>3391</x:v>
      </x:c>
    </x:row>
  </x:sheetData>
  <x:pageMargins left="0.7" right="0.7" top="0.75" bottom="0.75" header="0.3" footer="0.3"/>
  <x:tableParts count="1">
    <x:tablePart xmlns:r="http://schemas.openxmlformats.org/officeDocument/2006/relationships" r:id="R2fcc3c5d850742e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9.25" hidden="0" customWidth="1"/>
    <x:col min="3" max="3" width="42" hidden="0" customWidth="1"/>
    <x:col min="4" max="4" width="15.130000114440918" hidden="0" customWidth="1"/>
    <x:col min="5" max="5" width="5.5" hidden="0" customWidth="1"/>
    <x:col min="6" max="6" width="15.25" hidden="0" customWidth="1"/>
    <x:col min="7" max="7" width="13.5" hidden="0" customWidth="1"/>
    <x:col min="8" max="8" width="55" hidden="0" customWidth="1"/>
    <x:col min="9" max="9" width="42" hidden="0" customWidth="1"/>
    <x:col min="10" max="10" width="16.5" hidden="0" customWidth="1"/>
  </x:cols>
  <x:sheetData>
    <x:row r="1" ht="15" hidden="0" customHeight="1">
      <x:c r="A1" s="6" t="str">
        <x:v>query_id</x:v>
      </x:c>
      <x:c r="B1" s="6" t="str">
        <x:v>category</x:v>
      </x:c>
      <x:c r="C1" s="6" t="str">
        <x:v>query</x:v>
      </x:c>
      <x:c r="D1" s="6" t="str">
        <x:v>expected_behavior</x:v>
      </x:c>
      <x:c r="E1" s="6" t="str">
        <x:v>repeat</x:v>
      </x:c>
      <x:c r="F1" s="6" t="str">
        <x:v>observed_behavior</x:v>
      </x:c>
      <x:c r="G1" s="6" t="str">
        <x:v>behavior_correct</x:v>
      </x:c>
      <x:c r="H1" s="6" t="str">
        <x:v>answer</x:v>
      </x:c>
      <x:c r="I1" s="6" t="str">
        <x:v>retrieved_sources</x:v>
      </x:c>
      <x:c r="J1" s="6" t="str">
        <x:v>exactly_reproducible</x:v>
      </x:c>
    </x:row>
    <x:row r="2" ht="72" hidden="0" customHeight="1">
      <x:c r="A2" s="13" t="str">
        <x:v>a01</x:v>
      </x:c>
      <x:c r="B2" s="13" t="str">
        <x:v>answerable</x:v>
      </x:c>
      <x:c r="C2" s="13" t="str">
        <x:v>Wie viele ECTS hat WP3 Information Retrieval?</x:v>
      </x:c>
      <x:c r="D2" s="13" t="str">
        <x:v>answer</x:v>
      </x:c>
      <x:c r="E2" s="13" t="n">
        <x:v>1</x:v>
      </x:c>
      <x:c r="F2" s="13" t="str">
        <x:v>answer</x:v>
      </x:c>
      <x:c r="G2" s="13" t="n">
        <x:v>1</x:v>
      </x:c>
      <x:c r="H2" s="13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I2" s="13" t="str">
        <x:v>lmu_computerlinguistik_bsc_stand_2025-09-24.pdf:WP3:Zugeordnete Modulteile; lmu_computerlinguistik_bsc_stand_2025-09-24.pdf:P13:Zugeordnete Modulteile; lmu_computerlinguistik_bsc_stand_2025-09-24.pdf:P11:Zugeordnete Modulteile</x:v>
      </x:c>
      <x:c r="J2" s="13" t="n">
        <x:v>1</x:v>
      </x:c>
    </x:row>
    <x:row r="3" ht="72" hidden="0" customHeight="1">
      <x:c r="A3" s="13" t="str">
        <x:v>a01</x:v>
      </x:c>
      <x:c r="B3" s="13" t="str">
        <x:v>answerable</x:v>
      </x:c>
      <x:c r="C3" s="13" t="str">
        <x:v>Wie viele ECTS hat WP3 Information Retrieval?</x:v>
      </x:c>
      <x:c r="D3" s="13" t="str">
        <x:v>answer</x:v>
      </x:c>
      <x:c r="E3" s="13" t="n">
        <x:v>2</x:v>
      </x:c>
      <x:c r="F3" s="13" t="str">
        <x:v>answer</x:v>
      </x:c>
      <x:c r="G3" s="13" t="n">
        <x:v>1</x:v>
      </x:c>
      <x:c r="H3" s="13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I3" s="13" t="str">
        <x:v>lmu_computerlinguistik_bsc_stand_2025-09-24.pdf:WP3:Zugeordnete Modulteile; lmu_computerlinguistik_bsc_stand_2025-09-24.pdf:P13:Zugeordnete Modulteile; lmu_computerlinguistik_bsc_stand_2025-09-24.pdf:P11:Zugeordnete Modulteile</x:v>
      </x:c>
      <x:c r="J3" s="13" t="n">
        <x:v>1</x:v>
      </x:c>
    </x:row>
    <x:row r="4" ht="72" hidden="0" customHeight="1">
      <x:c r="A4" s="13" t="str">
        <x:v>a01</x:v>
      </x:c>
      <x:c r="B4" s="13" t="str">
        <x:v>answerable</x:v>
      </x:c>
      <x:c r="C4" s="13" t="str">
        <x:v>Wie viele ECTS hat WP3 Information Retrieval?</x:v>
      </x:c>
      <x:c r="D4" s="13" t="str">
        <x:v>answer</x:v>
      </x:c>
      <x:c r="E4" s="13" t="n">
        <x:v>3</x:v>
      </x:c>
      <x:c r="F4" s="13" t="str">
        <x:v>answer</x:v>
      </x:c>
      <x:c r="G4" s="13" t="n">
        <x:v>1</x:v>
      </x:c>
      <x:c r="H4" s="13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I4" s="13" t="str">
        <x:v>lmu_computerlinguistik_bsc_stand_2025-09-24.pdf:WP3:Zugeordnete Modulteile; lmu_computerlinguistik_bsc_stand_2025-09-24.pdf:P13:Zugeordnete Modulteile; lmu_computerlinguistik_bsc_stand_2025-09-24.pdf:P11:Zugeordnete Modulteile</x:v>
      </x:c>
      <x:c r="J4" s="13" t="n">
        <x:v>1</x:v>
      </x:c>
    </x:row>
    <x:row r="5" ht="72" hidden="0" customHeight="1">
      <x:c r="A5" s="13" t="str">
        <x:v>a02</x:v>
      </x:c>
      <x:c r="B5" s="13" t="str">
        <x:v>answerable</x:v>
      </x:c>
      <x:c r="C5" s="13" t="str">
        <x:v>Wer ist für P10 Statistische Methoden in der Sprachverarbeitung verantwortlich?</x:v>
      </x:c>
      <x:c r="D5" s="13" t="str">
        <x:v>answer</x:v>
      </x:c>
      <x:c r="E5" s="13" t="n">
        <x:v>1</x:v>
      </x:c>
      <x:c r="F5" s="13" t="str">
        <x:v>answer</x:v>
      </x:c>
      <x:c r="G5" s="13" t="n">
        <x:v>1</x:v>
      </x:c>
      <x:c r="H5" s="13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I5" s="13" t="str">
        <x:v>lmu_computerlinguistik_bsc_stand_2025-09-24.pdf:P10:Modulverantwortliche/r; lmu_computerlinguistik_bsc_stand_2025-09-24.pdf:P10:header; lmu_computerlinguistik_bsc_stand_2025-09-24.pdf:P10:Wahlpflichtregelungen</x:v>
      </x:c>
      <x:c r="J5" s="13" t="n">
        <x:v>1</x:v>
      </x:c>
    </x:row>
    <x:row r="6" ht="72" hidden="0" customHeight="1">
      <x:c r="A6" s="13" t="str">
        <x:v>a02</x:v>
      </x:c>
      <x:c r="B6" s="13" t="str">
        <x:v>answerable</x:v>
      </x:c>
      <x:c r="C6" s="13" t="str">
        <x:v>Wer ist für P10 Statistische Methoden in der Sprachverarbeitung verantwortlich?</x:v>
      </x:c>
      <x:c r="D6" s="13" t="str">
        <x:v>answer</x:v>
      </x:c>
      <x:c r="E6" s="13" t="n">
        <x:v>2</x:v>
      </x:c>
      <x:c r="F6" s="13" t="str">
        <x:v>answer</x:v>
      </x:c>
      <x:c r="G6" s="13" t="n">
        <x:v>1</x:v>
      </x:c>
      <x:c r="H6" s="13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I6" s="13" t="str">
        <x:v>lmu_computerlinguistik_bsc_stand_2025-09-24.pdf:P10:Modulverantwortliche/r; lmu_computerlinguistik_bsc_stand_2025-09-24.pdf:P10:header; lmu_computerlinguistik_bsc_stand_2025-09-24.pdf:P10:Wahlpflichtregelungen</x:v>
      </x:c>
      <x:c r="J6" s="13" t="n">
        <x:v>1</x:v>
      </x:c>
    </x:row>
    <x:row r="7" ht="72" hidden="0" customHeight="1">
      <x:c r="A7" s="13" t="str">
        <x:v>a02</x:v>
      </x:c>
      <x:c r="B7" s="13" t="str">
        <x:v>answerable</x:v>
      </x:c>
      <x:c r="C7" s="13" t="str">
        <x:v>Wer ist für P10 Statistische Methoden in der Sprachverarbeitung verantwortlich?</x:v>
      </x:c>
      <x:c r="D7" s="13" t="str">
        <x:v>answer</x:v>
      </x:c>
      <x:c r="E7" s="13" t="n">
        <x:v>3</x:v>
      </x:c>
      <x:c r="F7" s="13" t="str">
        <x:v>answer</x:v>
      </x:c>
      <x:c r="G7" s="13" t="n">
        <x:v>1</x:v>
      </x:c>
      <x:c r="H7" s="13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I7" s="13" t="str">
        <x:v>lmu_computerlinguistik_bsc_stand_2025-09-24.pdf:P10:Modulverantwortliche/r; lmu_computerlinguistik_bsc_stand_2025-09-24.pdf:P10:header; lmu_computerlinguistik_bsc_stand_2025-09-24.pdf:P10:Wahlpflichtregelungen</x:v>
      </x:c>
      <x:c r="J7" s="13" t="n">
        <x:v>1</x:v>
      </x:c>
    </x:row>
    <x:row r="8" ht="72" hidden="0" customHeight="1">
      <x:c r="A8" s="13" t="str">
        <x:v>u01</x:v>
      </x:c>
      <x:c r="B8" s="13" t="str">
        <x:v>unsupported</x:v>
      </x:c>
      <x:c r="C8" s="13" t="str">
        <x:v>An welchem Datum findet die nächste Prüfung für WP3 Information Retrieval statt?</x:v>
      </x:c>
      <x:c r="D8" s="13" t="str">
        <x:v>abstain</x:v>
      </x:c>
      <x:c r="E8" s="13" t="n">
        <x:v>1</x:v>
      </x:c>
      <x:c r="F8" s="13" t="str">
        <x:v>abstain</x:v>
      </x:c>
      <x:c r="G8" s="13" t="n">
        <x:v>1</x:v>
      </x:c>
      <x:c r="H8" s="13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I8" s="13" t="str">
        <x:v>lmu_computerlinguistik_bsc_stand_2025-09-24.pdf:WP3:Form der Modulprüfung; lmu_computerlinguistik_bsc_stand_2025-09-24.pdf:P1:Form der Modulprüfung; lmu_computerlinguistik_bsc_stand_2025-09-24.pdf:P2:Form der Modulprüfung</x:v>
      </x:c>
      <x:c r="J8" s="13" t="n">
        <x:v>1</x:v>
      </x:c>
    </x:row>
    <x:row r="9" ht="72" hidden="0" customHeight="1">
      <x:c r="A9" s="13" t="str">
        <x:v>u01</x:v>
      </x:c>
      <x:c r="B9" s="13" t="str">
        <x:v>unsupported</x:v>
      </x:c>
      <x:c r="C9" s="13" t="str">
        <x:v>An welchem Datum findet die nächste Prüfung für WP3 Information Retrieval statt?</x:v>
      </x:c>
      <x:c r="D9" s="13" t="str">
        <x:v>abstain</x:v>
      </x:c>
      <x:c r="E9" s="13" t="n">
        <x:v>2</x:v>
      </x:c>
      <x:c r="F9" s="13" t="str">
        <x:v>abstain</x:v>
      </x:c>
      <x:c r="G9" s="13" t="n">
        <x:v>1</x:v>
      </x:c>
      <x:c r="H9" s="13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I9" s="13" t="str">
        <x:v>lmu_computerlinguistik_bsc_stand_2025-09-24.pdf:WP3:Form der Modulprüfung; lmu_computerlinguistik_bsc_stand_2025-09-24.pdf:P1:Form der Modulprüfung; lmu_computerlinguistik_bsc_stand_2025-09-24.pdf:P2:Form der Modulprüfung</x:v>
      </x:c>
      <x:c r="J9" s="13" t="n">
        <x:v>1</x:v>
      </x:c>
    </x:row>
    <x:row r="10" ht="72" hidden="0" customHeight="1">
      <x:c r="A10" s="13" t="str">
        <x:v>u01</x:v>
      </x:c>
      <x:c r="B10" s="13" t="str">
        <x:v>unsupported</x:v>
      </x:c>
      <x:c r="C10" s="13" t="str">
        <x:v>An welchem Datum findet die nächste Prüfung für WP3 Information Retrieval statt?</x:v>
      </x:c>
      <x:c r="D10" s="13" t="str">
        <x:v>abstain</x:v>
      </x:c>
      <x:c r="E10" s="13" t="n">
        <x:v>3</x:v>
      </x:c>
      <x:c r="F10" s="13" t="str">
        <x:v>abstain</x:v>
      </x:c>
      <x:c r="G10" s="13" t="n">
        <x:v>1</x:v>
      </x:c>
      <x:c r="H10" s="13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I10" s="13" t="str">
        <x:v>lmu_computerlinguistik_bsc_stand_2025-09-24.pdf:WP3:Form der Modulprüfung; lmu_computerlinguistik_bsc_stand_2025-09-24.pdf:P1:Form der Modulprüfung; lmu_computerlinguistik_bsc_stand_2025-09-24.pdf:P2:Form der Modulprüfung</x:v>
      </x:c>
      <x:c r="J10" s="13" t="n">
        <x:v>1</x:v>
      </x:c>
    </x:row>
    <x:row r="11" ht="72" hidden="0" customHeight="1">
      <x:c r="A11" s="13" t="str">
        <x:v>u02</x:v>
      </x:c>
      <x:c r="B11" s="13" t="str">
        <x:v>unsupported</x:v>
      </x:c>
      <x:c r="C11" s="13" t="str">
        <x:v>Wie lautet die E-Mail-Adresse der für P10 verantwortlichen Person?</x:v>
      </x:c>
      <x:c r="D11" s="13" t="str">
        <x:v>abstain</x:v>
      </x:c>
      <x:c r="E11" s="13" t="n">
        <x:v>1</x:v>
      </x:c>
      <x:c r="F11" s="13" t="str">
        <x:v>abstain</x:v>
      </x:c>
      <x:c r="G11" s="13" t="n">
        <x:v>1</x:v>
      </x:c>
      <x:c r="H11" s="13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I11" s="13" t="str">
        <x:v>lmu_computerlinguistik_bsc_stand_2025-09-24.pdf:P10:Modulverantwortliche/r; lmu_computerlinguistik_bsc_stand_2025-09-24.pdf:P1:Modulverantwortliche/r; lmu_computerlinguistik_bsc_stand_2025-09-24.pdf:P2:Modulverantwortliche/r</x:v>
      </x:c>
      <x:c r="J11" s="13" t="n">
        <x:v>1</x:v>
      </x:c>
    </x:row>
    <x:row r="12" ht="72" hidden="0" customHeight="1">
      <x:c r="A12" s="13" t="str">
        <x:v>u02</x:v>
      </x:c>
      <x:c r="B12" s="13" t="str">
        <x:v>unsupported</x:v>
      </x:c>
      <x:c r="C12" s="13" t="str">
        <x:v>Wie lautet die E-Mail-Adresse der für P10 verantwortlichen Person?</x:v>
      </x:c>
      <x:c r="D12" s="13" t="str">
        <x:v>abstain</x:v>
      </x:c>
      <x:c r="E12" s="13" t="n">
        <x:v>2</x:v>
      </x:c>
      <x:c r="F12" s="13" t="str">
        <x:v>abstain</x:v>
      </x:c>
      <x:c r="G12" s="13" t="n">
        <x:v>1</x:v>
      </x:c>
      <x:c r="H12" s="13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I12" s="13" t="str">
        <x:v>lmu_computerlinguistik_bsc_stand_2025-09-24.pdf:P10:Modulverantwortliche/r; lmu_computerlinguistik_bsc_stand_2025-09-24.pdf:P1:Modulverantwortliche/r; lmu_computerlinguistik_bsc_stand_2025-09-24.pdf:P2:Modulverantwortliche/r</x:v>
      </x:c>
      <x:c r="J12" s="13" t="n">
        <x:v>1</x:v>
      </x:c>
    </x:row>
    <x:row r="13" ht="72" hidden="0" customHeight="1">
      <x:c r="A13" s="13" t="str">
        <x:v>u02</x:v>
      </x:c>
      <x:c r="B13" s="13" t="str">
        <x:v>unsupported</x:v>
      </x:c>
      <x:c r="C13" s="13" t="str">
        <x:v>Wie lautet die E-Mail-Adresse der für P10 verantwortlichen Person?</x:v>
      </x:c>
      <x:c r="D13" s="13" t="str">
        <x:v>abstain</x:v>
      </x:c>
      <x:c r="E13" s="13" t="n">
        <x:v>3</x:v>
      </x:c>
      <x:c r="F13" s="13" t="str">
        <x:v>abstain</x:v>
      </x:c>
      <x:c r="G13" s="13" t="n">
        <x:v>1</x:v>
      </x:c>
      <x:c r="H13" s="13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I13" s="13" t="str">
        <x:v>lmu_computerlinguistik_bsc_stand_2025-09-24.pdf:P10:Modulverantwortliche/r; lmu_computerlinguistik_bsc_stand_2025-09-24.pdf:P1:Modulverantwortliche/r; lmu_computerlinguistik_bsc_stand_2025-09-24.pdf:P2:Modulverantwortliche/r</x:v>
      </x:c>
      <x:c r="J13" s="13" t="n">
        <x:v>1</x:v>
      </x:c>
    </x:row>
    <x:row r="14" ht="15" hidden="0" customHeight="1">
      <x:c r="A14" s="13" t="str">
        <x:v>c01</x:v>
      </x:c>
      <x:c r="B14" s="13" t="str">
        <x:v>ambiguous</x:v>
      </x:c>
      <x:c r="C14" s="13" t="str">
        <x:v>Wie viele ECTS hat P1?</x:v>
      </x:c>
      <x:c r="D14" s="13" t="str">
        <x:v>clarify</x:v>
      </x:c>
      <x:c r="E14" s="13" t="n">
        <x:v>1</x:v>
      </x:c>
      <x:c r="F14" s="13" t="str">
        <x:v>clarify</x:v>
      </x:c>
      <x:c r="G14" s="13" t="n">
        <x:v>1</x:v>
      </x:c>
      <x:c r="H14" s="13" t="str">
        <x:v>Bitte präzisieren Sie den Studiengang oder das Modulhandbuch, da derselbe Modulcode in mehreren Handbüchern vorkommt.</x:v>
      </x:c>
      <x:c r="I14" s="13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  <x:c r="J14" s="13" t="n">
        <x:v>1</x:v>
      </x:c>
    </x:row>
    <x:row r="15" ht="15" hidden="0" customHeight="1">
      <x:c r="A15" s="13" t="str">
        <x:v>c01</x:v>
      </x:c>
      <x:c r="B15" s="13" t="str">
        <x:v>ambiguous</x:v>
      </x:c>
      <x:c r="C15" s="13" t="str">
        <x:v>Wie viele ECTS hat P1?</x:v>
      </x:c>
      <x:c r="D15" s="13" t="str">
        <x:v>clarify</x:v>
      </x:c>
      <x:c r="E15" s="13" t="n">
        <x:v>2</x:v>
      </x:c>
      <x:c r="F15" s="13" t="str">
        <x:v>clarify</x:v>
      </x:c>
      <x:c r="G15" s="13" t="n">
        <x:v>1</x:v>
      </x:c>
      <x:c r="H15" s="13" t="str">
        <x:v>Bitte präzisieren Sie den Studiengang oder das Modulhandbuch, da derselbe Modulcode in mehreren Handbüchern vorkommt.</x:v>
      </x:c>
      <x:c r="I15" s="13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  <x:c r="J15" s="13" t="n">
        <x:v>1</x:v>
      </x:c>
    </x:row>
    <x:row r="16" ht="15" hidden="0" customHeight="1">
      <x:c r="A16" s="13" t="str">
        <x:v>c01</x:v>
      </x:c>
      <x:c r="B16" s="13" t="str">
        <x:v>ambiguous</x:v>
      </x:c>
      <x:c r="C16" s="13" t="str">
        <x:v>Wie viele ECTS hat P1?</x:v>
      </x:c>
      <x:c r="D16" s="13" t="str">
        <x:v>clarify</x:v>
      </x:c>
      <x:c r="E16" s="13" t="n">
        <x:v>3</x:v>
      </x:c>
      <x:c r="F16" s="13" t="str">
        <x:v>clarify</x:v>
      </x:c>
      <x:c r="G16" s="13" t="n">
        <x:v>1</x:v>
      </x:c>
      <x:c r="H16" s="13" t="str">
        <x:v>Bitte präzisieren Sie den Studiengang oder das Modulhandbuch, da derselbe Modulcode in mehreren Handbüchern vorkommt.</x:v>
      </x:c>
      <x:c r="I16" s="13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  <x:c r="J16" s="13" t="n">
        <x:v>1</x:v>
      </x:c>
    </x:row>
    <x:row r="17" ht="15" hidden="0" customHeight="1">
      <x:c r="A17" s="13" t="str">
        <x:v>c02</x:v>
      </x:c>
      <x:c r="B17" s="13" t="str">
        <x:v>ambiguous</x:v>
      </x:c>
      <x:c r="C17" s="13" t="str">
        <x:v>Wer ist für WP3 verantwortlich?</x:v>
      </x:c>
      <x:c r="D17" s="13" t="str">
        <x:v>clarify</x:v>
      </x:c>
      <x:c r="E17" s="13" t="n">
        <x:v>1</x:v>
      </x:c>
      <x:c r="F17" s="13" t="str">
        <x:v>clarify</x:v>
      </x:c>
      <x:c r="G17" s="13" t="n">
        <x:v>1</x:v>
      </x:c>
      <x:c r="H17" s="13" t="str">
        <x:v>Bitte präzisieren Sie den Studiengang oder das Modulhandbuch, da derselbe Modulcode in mehreren Handbüchern vorkommt.</x:v>
      </x:c>
      <x:c r="I17" s="13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  <x:c r="J17" s="13" t="n">
        <x:v>1</x:v>
      </x:c>
    </x:row>
    <x:row r="18" ht="15" hidden="0" customHeight="1">
      <x:c r="A18" s="13" t="str">
        <x:v>c02</x:v>
      </x:c>
      <x:c r="B18" s="13" t="str">
        <x:v>ambiguous</x:v>
      </x:c>
      <x:c r="C18" s="13" t="str">
        <x:v>Wer ist für WP3 verantwortlich?</x:v>
      </x:c>
      <x:c r="D18" s="13" t="str">
        <x:v>clarify</x:v>
      </x:c>
      <x:c r="E18" s="13" t="n">
        <x:v>2</x:v>
      </x:c>
      <x:c r="F18" s="13" t="str">
        <x:v>clarify</x:v>
      </x:c>
      <x:c r="G18" s="13" t="n">
        <x:v>1</x:v>
      </x:c>
      <x:c r="H18" s="13" t="str">
        <x:v>Bitte präzisieren Sie den Studiengang oder das Modulhandbuch, da derselbe Modulcode in mehreren Handbüchern vorkommt.</x:v>
      </x:c>
      <x:c r="I18" s="13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  <x:c r="J18" s="13" t="n">
        <x:v>1</x:v>
      </x:c>
    </x:row>
    <x:row r="19" ht="15" hidden="0" customHeight="1">
      <x:c r="A19" s="13" t="str">
        <x:v>c02</x:v>
      </x:c>
      <x:c r="B19" s="13" t="str">
        <x:v>ambiguous</x:v>
      </x:c>
      <x:c r="C19" s="13" t="str">
        <x:v>Wer ist für WP3 verantwortlich?</x:v>
      </x:c>
      <x:c r="D19" s="13" t="str">
        <x:v>clarify</x:v>
      </x:c>
      <x:c r="E19" s="13" t="n">
        <x:v>3</x:v>
      </x:c>
      <x:c r="F19" s="13" t="str">
        <x:v>clarify</x:v>
      </x:c>
      <x:c r="G19" s="13" t="n">
        <x:v>1</x:v>
      </x:c>
      <x:c r="H19" s="13" t="str">
        <x:v>Bitte präzisieren Sie den Studiengang oder das Modulhandbuch, da derselbe Modulcode in mehreren Handbüchern vorkommt.</x:v>
      </x:c>
      <x:c r="I19" s="13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  <x:c r="J19" s="1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b498754ee354914"/>
  </x:tableParts>
</x:worksheet>
</file>